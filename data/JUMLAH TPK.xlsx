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1840AC0-1204-4C1A-86B0-EDDCB357E32E}" xr6:coauthVersionLast="47" xr6:coauthVersionMax="47" xr10:uidLastSave="{00000000-0000-0000-0000-000000000000}"/>
  <bookViews>
    <workbookView xWindow="-120" yWindow="-120" windowWidth="20730" windowHeight="11040" xr2:uid="{403A8AF4-15C2-49AD-9E69-6EFF9A67BBED}"/>
  </bookViews>
  <sheets>
    <sheet name="BABE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97" i="1" l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<sst xmlns="http://schemas.openxmlformats.org/spreadsheetml/2006/main" count="1184" uniqueCount="412">
  <si>
    <t>NO.</t>
  </si>
  <si>
    <t>NAMA KABUPATEN</t>
  </si>
  <si>
    <t>NAMA KECAMATAN</t>
  </si>
  <si>
    <t>NAMA KELURAHAN/DESA</t>
  </si>
  <si>
    <t>JUMLAH TPK</t>
  </si>
  <si>
    <t>BANGKA</t>
  </si>
  <si>
    <t>SUNGAILIAT</t>
  </si>
  <si>
    <t>SRI MENANTI</t>
  </si>
  <si>
    <t>KUDAI</t>
  </si>
  <si>
    <t>SINAR BARU</t>
  </si>
  <si>
    <t>KENANGA</t>
  </si>
  <si>
    <t>PARIT PADANG</t>
  </si>
  <si>
    <t>SINAR JAYA JELUTUNG</t>
  </si>
  <si>
    <t>MATRAS</t>
  </si>
  <si>
    <t>JELITIK</t>
  </si>
  <si>
    <t>SURYA TIMUR</t>
  </si>
  <si>
    <t>LUBUK KELIK</t>
  </si>
  <si>
    <t>BUKIT BETUNG</t>
  </si>
  <si>
    <t>REBO</t>
  </si>
  <si>
    <t>BELINYU</t>
  </si>
  <si>
    <t>KUTO PANJI</t>
  </si>
  <si>
    <t>AIR JUKUNG</t>
  </si>
  <si>
    <t>BUKIT KETOK</t>
  </si>
  <si>
    <t>REMODONG INDAH</t>
  </si>
  <si>
    <t>AIR ASAM</t>
  </si>
  <si>
    <t>MANTUNG</t>
  </si>
  <si>
    <t>GUNUNG MUDA</t>
  </si>
  <si>
    <t>GUNUNG PELAWAN</t>
  </si>
  <si>
    <t>RIDING PANJANG</t>
  </si>
  <si>
    <t>LUMUT</t>
  </si>
  <si>
    <t>BINTET</t>
  </si>
  <si>
    <t>MERAWANG</t>
  </si>
  <si>
    <t>BATU RUSA</t>
  </si>
  <si>
    <t>BALUN IJUK</t>
  </si>
  <si>
    <t>JURUNG</t>
  </si>
  <si>
    <t>KIMAK</t>
  </si>
  <si>
    <t>PAGARAWAN</t>
  </si>
  <si>
    <t>AIR ANYIR</t>
  </si>
  <si>
    <t>DWI MAKMUR</t>
  </si>
  <si>
    <t>JADA BAHRIN</t>
  </si>
  <si>
    <t>MENDO BARAT</t>
  </si>
  <si>
    <t>PETALING</t>
  </si>
  <si>
    <t>PENAGAN</t>
  </si>
  <si>
    <t>ZED</t>
  </si>
  <si>
    <t>MENDO</t>
  </si>
  <si>
    <t>PAYA BENUA</t>
  </si>
  <si>
    <t>CENGKONG ABANG</t>
  </si>
  <si>
    <t>KACE</t>
  </si>
  <si>
    <t>KEMUJA</t>
  </si>
  <si>
    <t>AIR DUREN</t>
  </si>
  <si>
    <t>KOTA KAPUR</t>
  </si>
  <si>
    <t>AIR BULUH</t>
  </si>
  <si>
    <t>RUKAM</t>
  </si>
  <si>
    <t>LABUH AIR PANDAN</t>
  </si>
  <si>
    <t>KACE TIMUR</t>
  </si>
  <si>
    <t>PETALING BANJAR</t>
  </si>
  <si>
    <t>PEMALI</t>
  </si>
  <si>
    <t>AIR RUAI</t>
  </si>
  <si>
    <t>PENYAMUN</t>
  </si>
  <si>
    <t>SEMPAN</t>
  </si>
  <si>
    <t>KARYA MAKMUR</t>
  </si>
  <si>
    <t>BAKAM</t>
  </si>
  <si>
    <t>KAPUK</t>
  </si>
  <si>
    <t>DALIL</t>
  </si>
  <si>
    <t>NEKNANG</t>
  </si>
  <si>
    <t>TIANG TARAH</t>
  </si>
  <si>
    <t>MANGKA</t>
  </si>
  <si>
    <t>MABAT</t>
  </si>
  <si>
    <t>BUKIT LAYANG</t>
  </si>
  <si>
    <t>MARAS SENANG</t>
  </si>
  <si>
    <t>RIAU SILIP</t>
  </si>
  <si>
    <t>RIAU</t>
  </si>
  <si>
    <t>PANGKAL NIUR</t>
  </si>
  <si>
    <t>PUGUL</t>
  </si>
  <si>
    <t>CIT</t>
  </si>
  <si>
    <t>DENIANG</t>
  </si>
  <si>
    <t>SILIP</t>
  </si>
  <si>
    <t>MAPUR</t>
  </si>
  <si>
    <t>BANYU ASIN</t>
  </si>
  <si>
    <t>BERBURA</t>
  </si>
  <si>
    <t>PUDING BESAR</t>
  </si>
  <si>
    <t>LABU</t>
  </si>
  <si>
    <t>NIBUNG</t>
  </si>
  <si>
    <t>TANAH BAWAH</t>
  </si>
  <si>
    <t>SAING</t>
  </si>
  <si>
    <t>KOTA WARINGIN</t>
  </si>
  <si>
    <t>KAYU BESI</t>
  </si>
  <si>
    <t>BANGKA BARAT/ BABAR</t>
  </si>
  <si>
    <t>MENTOK</t>
  </si>
  <si>
    <t>TANJUNG</t>
  </si>
  <si>
    <t>SUNGAI DAENG</t>
  </si>
  <si>
    <t>SUNGAI BARU</t>
  </si>
  <si>
    <t>KERANGGAN</t>
  </si>
  <si>
    <t>MENJELANG</t>
  </si>
  <si>
    <t>AIR PUTIH</t>
  </si>
  <si>
    <t>AIR BELO</t>
  </si>
  <si>
    <t>BELO LAUT</t>
  </si>
  <si>
    <t>AIR LIMAU</t>
  </si>
  <si>
    <t>SIMPANG TERITIP</t>
  </si>
  <si>
    <t>PELANGAS</t>
  </si>
  <si>
    <t>KUNDI</t>
  </si>
  <si>
    <t>MAYANG</t>
  </si>
  <si>
    <t>PERADONG</t>
  </si>
  <si>
    <t>AIR NYATOH</t>
  </si>
  <si>
    <t>BERANG</t>
  </si>
  <si>
    <t>RAMBAT</t>
  </si>
  <si>
    <t>SIMPANG GONG</t>
  </si>
  <si>
    <t>SIMPANG TIGA</t>
  </si>
  <si>
    <t>IBUL</t>
  </si>
  <si>
    <t>PANGEK</t>
  </si>
  <si>
    <t>BUKIT TERAK</t>
  </si>
  <si>
    <t>AIR MENDUYUNG</t>
  </si>
  <si>
    <t>JEBUS</t>
  </si>
  <si>
    <t>SUNGAI BULUH</t>
  </si>
  <si>
    <t>TUMBAK PETAR</t>
  </si>
  <si>
    <t>LIMBUNG</t>
  </si>
  <si>
    <t>RANGGI ASAM</t>
  </si>
  <si>
    <t>KETAP</t>
  </si>
  <si>
    <t>MISLAK</t>
  </si>
  <si>
    <t>PEBUAR</t>
  </si>
  <si>
    <t>SINAR MANIK</t>
  </si>
  <si>
    <t>AIR KUANG</t>
  </si>
  <si>
    <t>KELAPA</t>
  </si>
  <si>
    <t>MANCUNG</t>
  </si>
  <si>
    <t>KAYU ARANG</t>
  </si>
  <si>
    <t>PUSUK</t>
  </si>
  <si>
    <t>DENDANG</t>
  </si>
  <si>
    <t>KACUNG</t>
  </si>
  <si>
    <t>SINAR SARI</t>
  </si>
  <si>
    <t>BERUAS</t>
  </si>
  <si>
    <t>TEBING</t>
  </si>
  <si>
    <t>TERENTANG</t>
  </si>
  <si>
    <t>TUIK</t>
  </si>
  <si>
    <t>TUGANG</t>
  </si>
  <si>
    <t>AIR BULIN</t>
  </si>
  <si>
    <t>PANGKAL BERAS</t>
  </si>
  <si>
    <t>TEMPILANG</t>
  </si>
  <si>
    <t>TANJUNG NIUR</t>
  </si>
  <si>
    <t>SANGKU</t>
  </si>
  <si>
    <t>BUYAN KELUMBI</t>
  </si>
  <si>
    <t>PENYAMPAK</t>
  </si>
  <si>
    <t>BENTENG KOTA</t>
  </si>
  <si>
    <t>AIR LINTANG</t>
  </si>
  <si>
    <t>SINAR SURYA</t>
  </si>
  <si>
    <t>SIMPANG YUL</t>
  </si>
  <si>
    <t>PARITTIGA</t>
  </si>
  <si>
    <t>SEKAR BIRU</t>
  </si>
  <si>
    <t>TELAK</t>
  </si>
  <si>
    <t>CUPAT</t>
  </si>
  <si>
    <t>BAKIT</t>
  </si>
  <si>
    <t>PUPUT</t>
  </si>
  <si>
    <t>AIR GANTANG</t>
  </si>
  <si>
    <t>KELABAT</t>
  </si>
  <si>
    <t>KAPIT</t>
  </si>
  <si>
    <t>SEMULUT</t>
  </si>
  <si>
    <t>TELUK LIMAU</t>
  </si>
  <si>
    <t>BANGKA TENGAH/BATENG</t>
  </si>
  <si>
    <t>KOBA</t>
  </si>
  <si>
    <t>ARUNG DALAM</t>
  </si>
  <si>
    <t>BEROK</t>
  </si>
  <si>
    <t>PADANG MULIA</t>
  </si>
  <si>
    <t>SIMPANG PERLANG</t>
  </si>
  <si>
    <t>KURAU (TIMUR)</t>
  </si>
  <si>
    <t>GUNTUNG</t>
  </si>
  <si>
    <t>PENYAK</t>
  </si>
  <si>
    <t>TERENTANG III</t>
  </si>
  <si>
    <t>KURAU BARAT</t>
  </si>
  <si>
    <t>PANGKALAN BARU</t>
  </si>
  <si>
    <t>DUL</t>
  </si>
  <si>
    <t>AIR MESU</t>
  </si>
  <si>
    <t>MANGKOL</t>
  </si>
  <si>
    <t>TANJUNG GUNUNG</t>
  </si>
  <si>
    <t>BENTENG</t>
  </si>
  <si>
    <t>PADANG BARU</t>
  </si>
  <si>
    <t>JERUK</t>
  </si>
  <si>
    <t>BELULUK</t>
  </si>
  <si>
    <t>PEDINDANG</t>
  </si>
  <si>
    <t>BATU BELUBANG</t>
  </si>
  <si>
    <t>AIR MESU TIMUR</t>
  </si>
  <si>
    <t>KEBINTIK</t>
  </si>
  <si>
    <t>SUNGAI SELAN</t>
  </si>
  <si>
    <t>KERANTAI</t>
  </si>
  <si>
    <t>KERETAK</t>
  </si>
  <si>
    <t>LAMPUR</t>
  </si>
  <si>
    <t>SARANG MANDI</t>
  </si>
  <si>
    <t>MUNGGU</t>
  </si>
  <si>
    <t>KEMINGKING</t>
  </si>
  <si>
    <t>SUNGAI SELAN ATAS</t>
  </si>
  <si>
    <t>TANJUNG PURA</t>
  </si>
  <si>
    <t>ROMADHON</t>
  </si>
  <si>
    <t>KERAKAS</t>
  </si>
  <si>
    <t>MELABUN</t>
  </si>
  <si>
    <t>KERETAK ATAS</t>
  </si>
  <si>
    <t>SIMPANG KATIS</t>
  </si>
  <si>
    <t>CELUAK</t>
  </si>
  <si>
    <t>SUNGKAP</t>
  </si>
  <si>
    <t>TERU</t>
  </si>
  <si>
    <t>TERAK</t>
  </si>
  <si>
    <t>PASIR GARAM</t>
  </si>
  <si>
    <t>KATIS</t>
  </si>
  <si>
    <t>PINANG SEBATANG</t>
  </si>
  <si>
    <t>NAMANG</t>
  </si>
  <si>
    <t>CAMBAI</t>
  </si>
  <si>
    <t>JELUTUNG</t>
  </si>
  <si>
    <t>BELILIK</t>
  </si>
  <si>
    <t>BHASKARA BHAKTI</t>
  </si>
  <si>
    <t>BUKIT KIJANG</t>
  </si>
  <si>
    <t>CAMBAI SELATAN</t>
  </si>
  <si>
    <t>LUBUK BESAR</t>
  </si>
  <si>
    <t>PERLANG</t>
  </si>
  <si>
    <t>BATU BERIGA</t>
  </si>
  <si>
    <t>KULUR</t>
  </si>
  <si>
    <t>LUBUK LINGKUK</t>
  </si>
  <si>
    <t>LUBUK PABRIK</t>
  </si>
  <si>
    <t>TRUBUS</t>
  </si>
  <si>
    <t>KULUR ILIR</t>
  </si>
  <si>
    <t>BELIMBING</t>
  </si>
  <si>
    <t>BELITUNG TIMUR/BELTIM</t>
  </si>
  <si>
    <t>MANGGAR</t>
  </si>
  <si>
    <t>LALANG JAYA</t>
  </si>
  <si>
    <t>KURNIA JAYA</t>
  </si>
  <si>
    <t>PADANG</t>
  </si>
  <si>
    <t>KELUBI</t>
  </si>
  <si>
    <t>LALANG</t>
  </si>
  <si>
    <t>BARU</t>
  </si>
  <si>
    <t>BUKU LIMAU</t>
  </si>
  <si>
    <t>MEKAR JAYA</t>
  </si>
  <si>
    <t>BENTAIAN JAYA</t>
  </si>
  <si>
    <t>GANTUNG</t>
  </si>
  <si>
    <t>SELINGSING</t>
  </si>
  <si>
    <t>JANGKAR ASAM</t>
  </si>
  <si>
    <t>LILANGAN</t>
  </si>
  <si>
    <t>LENGGANG</t>
  </si>
  <si>
    <t>BATU PENYU</t>
  </si>
  <si>
    <t>LIMBONGAN</t>
  </si>
  <si>
    <t>JANGKANG</t>
  </si>
  <si>
    <t>NYURUK</t>
  </si>
  <si>
    <t>BALOK</t>
  </si>
  <si>
    <t>KELAPA KAMPIT</t>
  </si>
  <si>
    <t>MENTAWAK</t>
  </si>
  <si>
    <t>SENYUBUK</t>
  </si>
  <si>
    <t>CENDIL</t>
  </si>
  <si>
    <t>BUDING</t>
  </si>
  <si>
    <t>PEMBAHARUAN</t>
  </si>
  <si>
    <t>DAMAR</t>
  </si>
  <si>
    <t>AIR KELIK</t>
  </si>
  <si>
    <t>MEMPAYA</t>
  </si>
  <si>
    <t>BURONG MANDI</t>
  </si>
  <si>
    <t>MENGKUBANG</t>
  </si>
  <si>
    <t>SUKAMANDI</t>
  </si>
  <si>
    <t>SIMPANG RENGGIANG</t>
  </si>
  <si>
    <t>RENGGIANG</t>
  </si>
  <si>
    <t>AIK MADU</t>
  </si>
  <si>
    <t>LINTANG</t>
  </si>
  <si>
    <t>SIMPANG PESAK</t>
  </si>
  <si>
    <t>TANJUNG BATU ITAM</t>
  </si>
  <si>
    <t>TANJUNG KELUMPANG</t>
  </si>
  <si>
    <t>DUKONG</t>
  </si>
  <si>
    <t>BANGKA SELATAN/BASEL</t>
  </si>
  <si>
    <t>TOBOALI</t>
  </si>
  <si>
    <t>TELADAN</t>
  </si>
  <si>
    <t>TANJUNGKETAPANG</t>
  </si>
  <si>
    <t>SERDANG</t>
  </si>
  <si>
    <t>JERIJI</t>
  </si>
  <si>
    <t>BIKANG</t>
  </si>
  <si>
    <t>GADUNG</t>
  </si>
  <si>
    <t>RIAS</t>
  </si>
  <si>
    <t>KEPOH</t>
  </si>
  <si>
    <t>KEPOSANG</t>
  </si>
  <si>
    <t>RINDIK</t>
  </si>
  <si>
    <t>LEPAR</t>
  </si>
  <si>
    <t>TANJUNGLABU</t>
  </si>
  <si>
    <t>TANJUNGSANGKAR</t>
  </si>
  <si>
    <t>KUMBUNG</t>
  </si>
  <si>
    <t>PENUTUK</t>
  </si>
  <si>
    <t>AIRGEGAS</t>
  </si>
  <si>
    <t>DELAS</t>
  </si>
  <si>
    <t>PERGAM</t>
  </si>
  <si>
    <t>BENCAH</t>
  </si>
  <si>
    <t>NYELANDING</t>
  </si>
  <si>
    <t>NANGKA</t>
  </si>
  <si>
    <t>RANGGAS</t>
  </si>
  <si>
    <t>AIRBARA</t>
  </si>
  <si>
    <t>SIDOHARJO</t>
  </si>
  <si>
    <t>TEPUS</t>
  </si>
  <si>
    <t>SIMPANG RIMBA</t>
  </si>
  <si>
    <t>JELUTUNG II</t>
  </si>
  <si>
    <t>GUDANG</t>
  </si>
  <si>
    <t>BANGKA KOTA</t>
  </si>
  <si>
    <t>RAJIK</t>
  </si>
  <si>
    <t>SEBAGIN</t>
  </si>
  <si>
    <t>PERMIS</t>
  </si>
  <si>
    <t>PAYUNG</t>
  </si>
  <si>
    <t>MALIK</t>
  </si>
  <si>
    <t>SENGIR</t>
  </si>
  <si>
    <t>PANGKAL BULUH</t>
  </si>
  <si>
    <t>IRAT</t>
  </si>
  <si>
    <t>BEDENGUNG</t>
  </si>
  <si>
    <t>NADUNG</t>
  </si>
  <si>
    <t>RANGGUNG</t>
  </si>
  <si>
    <t>PAKU</t>
  </si>
  <si>
    <t>TUKAK SADAI</t>
  </si>
  <si>
    <t>SADAI</t>
  </si>
  <si>
    <t>TUKAK</t>
  </si>
  <si>
    <t>PASIR PUTIH</t>
  </si>
  <si>
    <t>TIRAM</t>
  </si>
  <si>
    <t>BUKIT TERAP</t>
  </si>
  <si>
    <t>PULAUBESAR</t>
  </si>
  <si>
    <t>BATU BETUMPANG</t>
  </si>
  <si>
    <t>SUKAJAYA</t>
  </si>
  <si>
    <t>PANCA TUNGGAL</t>
  </si>
  <si>
    <t>SUMBER JAYA PERMAI</t>
  </si>
  <si>
    <t>FAJAR INDAH</t>
  </si>
  <si>
    <t>KEPULAUAN PONGOK</t>
  </si>
  <si>
    <t>PONGOK</t>
  </si>
  <si>
    <t>CELAGEN</t>
  </si>
  <si>
    <t>BELITUNG</t>
  </si>
  <si>
    <t>TANJUNG PANDAN</t>
  </si>
  <si>
    <t>KOTA</t>
  </si>
  <si>
    <t>PARIT</t>
  </si>
  <si>
    <t>LESUNG BATANG</t>
  </si>
  <si>
    <t>PANGKALLALANG</t>
  </si>
  <si>
    <t>TANJUNGPENDAM</t>
  </si>
  <si>
    <t>PAAL SATU</t>
  </si>
  <si>
    <t>KAMPONG DAMAI</t>
  </si>
  <si>
    <t>BULUH TUMBANG</t>
  </si>
  <si>
    <t>PERAWAS</t>
  </si>
  <si>
    <t>JURU SEBERANG</t>
  </si>
  <si>
    <t>AIR SAGA</t>
  </si>
  <si>
    <t>AIR MERBAU</t>
  </si>
  <si>
    <t>AIK PELEMPANG JAYA</t>
  </si>
  <si>
    <t>AIK KETEKOK</t>
  </si>
  <si>
    <t>AIK RAYAK</t>
  </si>
  <si>
    <t>MEMBALONG</t>
  </si>
  <si>
    <t>PERPAT</t>
  </si>
  <si>
    <t>LASSAR</t>
  </si>
  <si>
    <t>SIMPANG RUSA</t>
  </si>
  <si>
    <t>KEMBIRI</t>
  </si>
  <si>
    <t>BANTAN</t>
  </si>
  <si>
    <t>TANJUNGRUSA</t>
  </si>
  <si>
    <t>MENTIGI</t>
  </si>
  <si>
    <t>PULAU SELIU</t>
  </si>
  <si>
    <t>PULAU SUMEDANG</t>
  </si>
  <si>
    <t>GUNUNG RITING</t>
  </si>
  <si>
    <t>PADANG KANDIS</t>
  </si>
  <si>
    <t>SELAT NASIK</t>
  </si>
  <si>
    <t>SUAK GUAL</t>
  </si>
  <si>
    <t>PULAU GERSIK</t>
  </si>
  <si>
    <t>SIJUK</t>
  </si>
  <si>
    <t>BATU ITAM</t>
  </si>
  <si>
    <t>TERONG</t>
  </si>
  <si>
    <t>AIR SERUK</t>
  </si>
  <si>
    <t>TANJUNG BINGA</t>
  </si>
  <si>
    <t>AIR SELUMAR</t>
  </si>
  <si>
    <t>SUNGAI PADANG</t>
  </si>
  <si>
    <t>KECIPUT</t>
  </si>
  <si>
    <t>PELEPAK PUTE</t>
  </si>
  <si>
    <t>TANJONG TINGGI</t>
  </si>
  <si>
    <t>BADAU</t>
  </si>
  <si>
    <t>AIR BATU BUDING</t>
  </si>
  <si>
    <t>SUNGAI SAMAK</t>
  </si>
  <si>
    <t>KACANG BUTOR</t>
  </si>
  <si>
    <t>CERUCUK</t>
  </si>
  <si>
    <t>PEGANTUNGAN</t>
  </si>
  <si>
    <t>PANGKAL PINANG/ KOTA PANGKAL PINANG/ PK.PINANG</t>
  </si>
  <si>
    <t>BUKITINTAN</t>
  </si>
  <si>
    <t>SEMABUNG LAMA</t>
  </si>
  <si>
    <t>BACANG</t>
  </si>
  <si>
    <t>AIR ITAM</t>
  </si>
  <si>
    <t>TEMBERAN</t>
  </si>
  <si>
    <t>SINAR BULAN</t>
  </si>
  <si>
    <t>AIR MAWAR</t>
  </si>
  <si>
    <t>TAMAN SARI</t>
  </si>
  <si>
    <t>OPAS INDAH</t>
  </si>
  <si>
    <t>GEDUNG NASIONAL</t>
  </si>
  <si>
    <t>BATIN TIKAL</t>
  </si>
  <si>
    <t>RAWA BANGUN</t>
  </si>
  <si>
    <t>KEJAKSAAN</t>
  </si>
  <si>
    <t>PANGKAL BALAM</t>
  </si>
  <si>
    <t>LONTONG PANCUR</t>
  </si>
  <si>
    <t>KETAPANG</t>
  </si>
  <si>
    <t>AMPUI</t>
  </si>
  <si>
    <t>REJO SARI</t>
  </si>
  <si>
    <t>RANGKUI</t>
  </si>
  <si>
    <t>PINTU AIR</t>
  </si>
  <si>
    <t>BINTANG</t>
  </si>
  <si>
    <t>MASJID JAMIK</t>
  </si>
  <si>
    <t>ASAM</t>
  </si>
  <si>
    <t>MELINTANG</t>
  </si>
  <si>
    <t>PARIT LALANG</t>
  </si>
  <si>
    <t>KERAMAT</t>
  </si>
  <si>
    <t>GAJAH MADA</t>
  </si>
  <si>
    <t>GERUNGGANG</t>
  </si>
  <si>
    <t>TAMAN BUNGA</t>
  </si>
  <si>
    <t>BUKIT MERAPEN</t>
  </si>
  <si>
    <t>BUKIT SARI</t>
  </si>
  <si>
    <t>TUA TUNU INDAH</t>
  </si>
  <si>
    <t>KACANG PEDANG</t>
  </si>
  <si>
    <t>AIR KEPALA TUJUH</t>
  </si>
  <si>
    <t>GABEK</t>
  </si>
  <si>
    <t>SELINDUNG</t>
  </si>
  <si>
    <t>SELINDUNG BARU</t>
  </si>
  <si>
    <t>GABEK SATU</t>
  </si>
  <si>
    <t>GABEK DUA</t>
  </si>
  <si>
    <t>AIR SALEMBA</t>
  </si>
  <si>
    <t>JERAMBAH GANTUNG</t>
  </si>
  <si>
    <t>GIRIMAYA</t>
  </si>
  <si>
    <t>PASAR PADI</t>
  </si>
  <si>
    <t>BATU INTAN</t>
  </si>
  <si>
    <t>BUKIT BESAR</t>
  </si>
  <si>
    <t>SRIWIJAYA</t>
  </si>
  <si>
    <t>SEMABUNG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</si>
</sst>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/>
    <xf numFmtId="0" fontId="5" fillId="0" borderId="4" xfId="0" applyFont="1" applyBorder="1"/>
    <xf numFmtId="0" fontId="3" fillId="0" borderId="4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JUMLAH%20TPK.xlsx" TargetMode="External"/><Relationship Id="rId1" Type="http://schemas.openxmlformats.org/officeDocument/2006/relationships/externalLinkPath" Target="JUMLAH%20TP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8"/>
      <sheetName val="BANGKA"/>
      <sheetName val="BANGKA BARAT"/>
      <sheetName val="BANGKA TENGAH"/>
      <sheetName val="BELITUNG TIMUR"/>
      <sheetName val="BANGKA SELATAN"/>
      <sheetName val="BELITUNG"/>
      <sheetName val="PANGKALPINANG"/>
      <sheetName val="Detail TPK"/>
      <sheetName val="BABEL"/>
      <sheetName val="PK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NAMA KABUPATEN/KOTA</v>
          </cell>
          <cell r="C2" t="str">
            <v>NAMA KECAMATAN</v>
          </cell>
          <cell r="D2" t="str">
            <v>NAMA KELURAHAN</v>
          </cell>
        </row>
        <row r="7">
          <cell r="B7" t="str">
            <v>BANGKA</v>
          </cell>
          <cell r="C7" t="str">
            <v>SUNGAILIAT</v>
          </cell>
          <cell r="D7" t="str">
            <v>SUNGAILIAT</v>
          </cell>
        </row>
        <row r="8">
          <cell r="B8" t="str">
            <v>BANGKA</v>
          </cell>
          <cell r="C8" t="str">
            <v>SUNGAILIAT</v>
          </cell>
          <cell r="D8" t="str">
            <v>SUNGAILIAT</v>
          </cell>
        </row>
        <row r="9">
          <cell r="B9" t="str">
            <v>BANGKA</v>
          </cell>
          <cell r="C9" t="str">
            <v>SUNGAILIAT</v>
          </cell>
          <cell r="D9" t="str">
            <v>SUNGAILIAT</v>
          </cell>
        </row>
        <row r="10">
          <cell r="B10" t="str">
            <v>BANGKA</v>
          </cell>
          <cell r="C10" t="str">
            <v>SUNGAILIAT</v>
          </cell>
          <cell r="D10" t="str">
            <v>SUNGAILIAT</v>
          </cell>
        </row>
        <row r="11">
          <cell r="B11" t="str">
            <v>BANGKA</v>
          </cell>
          <cell r="C11" t="str">
            <v>SUNGAILIAT</v>
          </cell>
          <cell r="D11" t="str">
            <v>SUNGAILIAT</v>
          </cell>
        </row>
        <row r="12">
          <cell r="B12" t="str">
            <v>BANGKA</v>
          </cell>
          <cell r="C12" t="str">
            <v>SUNGAILIAT</v>
          </cell>
          <cell r="D12" t="str">
            <v>SUNGAILIAT</v>
          </cell>
        </row>
        <row r="13">
          <cell r="B13" t="str">
            <v>BANGKA</v>
          </cell>
          <cell r="C13" t="str">
            <v>SUNGAILIAT</v>
          </cell>
          <cell r="D13" t="str">
            <v>SUNGAILIAT</v>
          </cell>
        </row>
        <row r="14">
          <cell r="B14" t="str">
            <v>BANGKA</v>
          </cell>
          <cell r="C14" t="str">
            <v>SUNGAILIAT</v>
          </cell>
          <cell r="D14" t="str">
            <v>SUNGAILIAT</v>
          </cell>
        </row>
        <row r="15">
          <cell r="B15" t="str">
            <v>BANGKA</v>
          </cell>
          <cell r="C15" t="str">
            <v>SUNGAILIAT</v>
          </cell>
          <cell r="D15" t="str">
            <v>SRI MENANTI</v>
          </cell>
        </row>
        <row r="16">
          <cell r="B16" t="str">
            <v>BANGKA</v>
          </cell>
          <cell r="C16" t="str">
            <v>SUNGAILIAT</v>
          </cell>
          <cell r="D16" t="str">
            <v>SRI MENANTI</v>
          </cell>
        </row>
        <row r="17">
          <cell r="B17" t="str">
            <v>BANGKA</v>
          </cell>
          <cell r="C17" t="str">
            <v>SUNGAILIAT</v>
          </cell>
          <cell r="D17" t="str">
            <v>SRI MENANTI</v>
          </cell>
        </row>
        <row r="18">
          <cell r="B18" t="str">
            <v>BANGKA</v>
          </cell>
          <cell r="C18" t="str">
            <v>SUNGAILIAT</v>
          </cell>
          <cell r="D18" t="str">
            <v>SRI MENANTI</v>
          </cell>
        </row>
        <row r="19">
          <cell r="B19" t="str">
            <v>BANGKA</v>
          </cell>
          <cell r="C19" t="str">
            <v>SUNGAILIAT</v>
          </cell>
          <cell r="D19" t="str">
            <v>SRI MENANTI</v>
          </cell>
        </row>
        <row r="20">
          <cell r="B20" t="str">
            <v>BANGKA</v>
          </cell>
          <cell r="C20" t="str">
            <v>SUNGAILIAT</v>
          </cell>
          <cell r="D20" t="str">
            <v>SRI MENANTI</v>
          </cell>
        </row>
        <row r="21">
          <cell r="B21" t="str">
            <v>BANGKA</v>
          </cell>
          <cell r="C21" t="str">
            <v>SUNGAILIAT</v>
          </cell>
          <cell r="D21" t="str">
            <v>KUDAI</v>
          </cell>
        </row>
        <row r="22">
          <cell r="B22" t="str">
            <v>BANGKA</v>
          </cell>
          <cell r="C22" t="str">
            <v>SUNGAILIAT</v>
          </cell>
          <cell r="D22" t="str">
            <v>KUDAI</v>
          </cell>
        </row>
        <row r="23">
          <cell r="B23" t="str">
            <v>BANGKA</v>
          </cell>
          <cell r="C23" t="str">
            <v>SUNGAILIAT</v>
          </cell>
          <cell r="D23" t="str">
            <v>KUDAI</v>
          </cell>
        </row>
        <row r="24">
          <cell r="B24" t="str">
            <v>BANGKA</v>
          </cell>
          <cell r="C24" t="str">
            <v>SUNGAILIAT</v>
          </cell>
          <cell r="D24" t="str">
            <v>SINAR BARU</v>
          </cell>
        </row>
        <row r="25">
          <cell r="B25" t="str">
            <v>BANGKA</v>
          </cell>
          <cell r="C25" t="str">
            <v>SUNGAILIAT</v>
          </cell>
          <cell r="D25" t="str">
            <v>SINAR BARU</v>
          </cell>
        </row>
        <row r="26">
          <cell r="B26" t="str">
            <v>BANGKA</v>
          </cell>
          <cell r="C26" t="str">
            <v>SUNGAILIAT</v>
          </cell>
          <cell r="D26" t="str">
            <v>KENANGA</v>
          </cell>
        </row>
        <row r="27">
          <cell r="B27" t="str">
            <v>BANGKA</v>
          </cell>
          <cell r="C27" t="str">
            <v>SUNGAILIAT</v>
          </cell>
          <cell r="D27" t="str">
            <v>KENANGA</v>
          </cell>
        </row>
        <row r="28">
          <cell r="B28" t="str">
            <v>BANGKA</v>
          </cell>
          <cell r="C28" t="str">
            <v>SUNGAILIAT</v>
          </cell>
          <cell r="D28" t="str">
            <v>KENANGA</v>
          </cell>
        </row>
        <row r="29">
          <cell r="B29" t="str">
            <v>BANGKA</v>
          </cell>
          <cell r="C29" t="str">
            <v>SUNGAILIAT</v>
          </cell>
          <cell r="D29" t="str">
            <v>PARIT PADANG</v>
          </cell>
        </row>
        <row r="30">
          <cell r="B30" t="str">
            <v>BANGKA</v>
          </cell>
          <cell r="C30" t="str">
            <v>SUNGAILIAT</v>
          </cell>
          <cell r="D30" t="str">
            <v>PARIT PADANG</v>
          </cell>
        </row>
        <row r="31">
          <cell r="B31" t="str">
            <v>BANGKA</v>
          </cell>
          <cell r="C31" t="str">
            <v>SUNGAILIAT</v>
          </cell>
          <cell r="D31" t="str">
            <v>PARIT PADANG</v>
          </cell>
        </row>
        <row r="32">
          <cell r="B32" t="str">
            <v>BANGKA</v>
          </cell>
          <cell r="C32" t="str">
            <v>SUNGAILIAT</v>
          </cell>
          <cell r="D32" t="str">
            <v>PARIT PADANG</v>
          </cell>
        </row>
        <row r="33">
          <cell r="B33" t="str">
            <v>BANGKA</v>
          </cell>
          <cell r="C33" t="str">
            <v>SUNGAILIAT</v>
          </cell>
          <cell r="D33" t="str">
            <v>SINAR JAYA JELUTUNG</v>
          </cell>
        </row>
        <row r="34">
          <cell r="B34" t="str">
            <v>BANGKA</v>
          </cell>
          <cell r="C34" t="str">
            <v>SUNGAILIAT</v>
          </cell>
          <cell r="D34" t="str">
            <v>SINAR JAYA JELUTUNG</v>
          </cell>
        </row>
        <row r="35">
          <cell r="B35" t="str">
            <v>BANGKA</v>
          </cell>
          <cell r="C35" t="str">
            <v>SUNGAILIAT</v>
          </cell>
          <cell r="D35" t="str">
            <v>SINAR JAYA JELUTUNG</v>
          </cell>
        </row>
        <row r="36">
          <cell r="B36" t="str">
            <v>BANGKA</v>
          </cell>
          <cell r="C36" t="str">
            <v>SUNGAILIAT</v>
          </cell>
          <cell r="D36" t="str">
            <v>MATRAS</v>
          </cell>
        </row>
        <row r="37">
          <cell r="B37" t="str">
            <v>BANGKA</v>
          </cell>
          <cell r="C37" t="str">
            <v>SUNGAILIAT</v>
          </cell>
          <cell r="D37" t="str">
            <v>MATRAS</v>
          </cell>
        </row>
        <row r="38">
          <cell r="B38" t="str">
            <v>BANGKA</v>
          </cell>
          <cell r="C38" t="str">
            <v>SUNGAILIAT</v>
          </cell>
          <cell r="D38" t="str">
            <v>JELITIK</v>
          </cell>
        </row>
        <row r="39">
          <cell r="B39" t="str">
            <v>BANGKA</v>
          </cell>
          <cell r="C39" t="str">
            <v>SUNGAILIAT</v>
          </cell>
          <cell r="D39" t="str">
            <v>JELITIK</v>
          </cell>
        </row>
        <row r="40">
          <cell r="B40" t="str">
            <v>BANGKA</v>
          </cell>
          <cell r="C40" t="str">
            <v>SUNGAILIAT</v>
          </cell>
          <cell r="D40" t="str">
            <v>JELITIK</v>
          </cell>
        </row>
        <row r="41">
          <cell r="B41" t="str">
            <v>BANGKA</v>
          </cell>
          <cell r="C41" t="str">
            <v>SUNGAILIAT</v>
          </cell>
          <cell r="D41" t="str">
            <v>SURYA TIMUR</v>
          </cell>
        </row>
        <row r="42">
          <cell r="B42" t="str">
            <v>BANGKA</v>
          </cell>
          <cell r="C42" t="str">
            <v>SUNGAILIAT</v>
          </cell>
          <cell r="D42" t="str">
            <v>SURYA TIMUR</v>
          </cell>
        </row>
        <row r="43">
          <cell r="B43" t="str">
            <v>BANGKA</v>
          </cell>
          <cell r="C43" t="str">
            <v>SUNGAILIAT</v>
          </cell>
          <cell r="D43" t="str">
            <v>LUBUK KELIK</v>
          </cell>
        </row>
        <row r="44">
          <cell r="B44" t="str">
            <v>BANGKA</v>
          </cell>
          <cell r="C44" t="str">
            <v>SUNGAILIAT</v>
          </cell>
          <cell r="D44" t="str">
            <v>LUBUK KELIK</v>
          </cell>
        </row>
        <row r="45">
          <cell r="B45" t="str">
            <v>BANGKA</v>
          </cell>
          <cell r="C45" t="str">
            <v>SUNGAILIAT</v>
          </cell>
          <cell r="D45" t="str">
            <v>BUKIT BETUNG</v>
          </cell>
        </row>
        <row r="46">
          <cell r="B46" t="str">
            <v>BANGKA</v>
          </cell>
          <cell r="C46" t="str">
            <v>SUNGAILIAT</v>
          </cell>
          <cell r="D46" t="str">
            <v>BUKIT BETUNG</v>
          </cell>
        </row>
        <row r="47">
          <cell r="B47" t="str">
            <v>BANGKA</v>
          </cell>
          <cell r="C47" t="str">
            <v>SUNGAILIAT</v>
          </cell>
          <cell r="D47" t="str">
            <v>BUKIT BETUNG</v>
          </cell>
        </row>
        <row r="48">
          <cell r="B48" t="str">
            <v>BANGKA</v>
          </cell>
          <cell r="C48" t="str">
            <v>SUNGAILIAT</v>
          </cell>
          <cell r="D48" t="str">
            <v>REBO</v>
          </cell>
        </row>
        <row r="49">
          <cell r="B49" t="str">
            <v>BANGKA</v>
          </cell>
          <cell r="C49" t="str">
            <v>SUNGAILIAT</v>
          </cell>
          <cell r="D49" t="str">
            <v>REBO</v>
          </cell>
        </row>
        <row r="50">
          <cell r="B50" t="str">
            <v>BANGKA</v>
          </cell>
          <cell r="C50" t="str">
            <v>SUNGAILIAT</v>
          </cell>
          <cell r="D50" t="str">
            <v>REBO</v>
          </cell>
        </row>
        <row r="51">
          <cell r="B51" t="str">
            <v>BANGKA</v>
          </cell>
          <cell r="C51" t="str">
            <v>BELINYU</v>
          </cell>
          <cell r="D51" t="str">
            <v>KUTO PANJI</v>
          </cell>
        </row>
        <row r="52">
          <cell r="B52" t="str">
            <v>BANGKA</v>
          </cell>
          <cell r="C52" t="str">
            <v>BELINYU</v>
          </cell>
          <cell r="D52" t="str">
            <v>KUTO PANJI</v>
          </cell>
        </row>
        <row r="53">
          <cell r="B53" t="str">
            <v>BANGKA</v>
          </cell>
          <cell r="C53" t="str">
            <v>BELINYU</v>
          </cell>
          <cell r="D53" t="str">
            <v>KUTO PANJI</v>
          </cell>
        </row>
        <row r="54">
          <cell r="B54" t="str">
            <v>BANGKA</v>
          </cell>
          <cell r="C54" t="str">
            <v>BELINYU</v>
          </cell>
          <cell r="D54" t="str">
            <v>KUTO PANJI</v>
          </cell>
        </row>
        <row r="55">
          <cell r="B55" t="str">
            <v>BANGKA</v>
          </cell>
          <cell r="C55" t="str">
            <v>BELINYU</v>
          </cell>
          <cell r="D55" t="str">
            <v>KUTO PANJI</v>
          </cell>
        </row>
        <row r="56">
          <cell r="B56" t="str">
            <v>BANGKA</v>
          </cell>
          <cell r="C56" t="str">
            <v>BELINYU</v>
          </cell>
          <cell r="D56" t="str">
            <v>KUTO PANJI</v>
          </cell>
        </row>
        <row r="57">
          <cell r="B57" t="str">
            <v>BANGKA</v>
          </cell>
          <cell r="C57" t="str">
            <v>BELINYU</v>
          </cell>
          <cell r="D57" t="str">
            <v>AIR JUKUNG</v>
          </cell>
        </row>
        <row r="58">
          <cell r="B58" t="str">
            <v>BANGKA</v>
          </cell>
          <cell r="C58" t="str">
            <v>BELINYU</v>
          </cell>
          <cell r="D58" t="str">
            <v>AIR JUKUNG</v>
          </cell>
        </row>
        <row r="59">
          <cell r="B59" t="str">
            <v>BANGKA</v>
          </cell>
          <cell r="C59" t="str">
            <v>BELINYU</v>
          </cell>
          <cell r="D59" t="str">
            <v>AIR JUKUNG</v>
          </cell>
        </row>
        <row r="60">
          <cell r="B60" t="str">
            <v>BANGKA</v>
          </cell>
          <cell r="C60" t="str">
            <v>BELINYU</v>
          </cell>
          <cell r="D60" t="str">
            <v>BUKIT KETOK</v>
          </cell>
        </row>
        <row r="61">
          <cell r="B61" t="str">
            <v>BANGKA</v>
          </cell>
          <cell r="C61" t="str">
            <v>BELINYU</v>
          </cell>
          <cell r="D61" t="str">
            <v>BUKIT KETOK</v>
          </cell>
        </row>
        <row r="62">
          <cell r="B62" t="str">
            <v>BANGKA</v>
          </cell>
          <cell r="C62" t="str">
            <v>BELINYU</v>
          </cell>
          <cell r="D62" t="str">
            <v>BUKIT KETOK</v>
          </cell>
        </row>
        <row r="63">
          <cell r="B63" t="str">
            <v>BANGKA</v>
          </cell>
          <cell r="C63" t="str">
            <v>BELINYU</v>
          </cell>
          <cell r="D63" t="str">
            <v>REMODONG INDAH</v>
          </cell>
        </row>
        <row r="64">
          <cell r="B64" t="str">
            <v>BANGKA</v>
          </cell>
          <cell r="C64" t="str">
            <v>BELINYU</v>
          </cell>
          <cell r="D64" t="str">
            <v>REMODONG INDAH</v>
          </cell>
        </row>
        <row r="65">
          <cell r="B65" t="str">
            <v>BANGKA</v>
          </cell>
          <cell r="C65" t="str">
            <v>BELINYU</v>
          </cell>
          <cell r="D65" t="str">
            <v>AIR ASAM</v>
          </cell>
        </row>
        <row r="66">
          <cell r="B66" t="str">
            <v>BANGKA</v>
          </cell>
          <cell r="C66" t="str">
            <v>BELINYU</v>
          </cell>
          <cell r="D66" t="str">
            <v>AIR ASAM</v>
          </cell>
        </row>
        <row r="67">
          <cell r="B67" t="str">
            <v>BANGKA</v>
          </cell>
          <cell r="C67" t="str">
            <v>BELINYU</v>
          </cell>
          <cell r="D67" t="str">
            <v>AIR ASAM</v>
          </cell>
        </row>
        <row r="68">
          <cell r="B68" t="str">
            <v>NAMA KABUPATEN/KOTA</v>
          </cell>
          <cell r="C68" t="str">
            <v>NAMA KECAMATAN</v>
          </cell>
          <cell r="D68" t="str">
            <v>NAMA KELURAHAN</v>
          </cell>
        </row>
        <row r="73">
          <cell r="B73" t="str">
            <v>BANGKA</v>
          </cell>
          <cell r="C73" t="str">
            <v>BELINYU</v>
          </cell>
          <cell r="D73" t="str">
            <v>MANTUNG</v>
          </cell>
        </row>
        <row r="74">
          <cell r="B74" t="str">
            <v>BANGKA</v>
          </cell>
          <cell r="C74" t="str">
            <v>BELINYU</v>
          </cell>
          <cell r="D74" t="str">
            <v>MANTUNG</v>
          </cell>
        </row>
        <row r="75">
          <cell r="B75" t="str">
            <v>BANGKA</v>
          </cell>
          <cell r="C75" t="str">
            <v>BELINYU</v>
          </cell>
          <cell r="D75" t="str">
            <v>MANTUNG</v>
          </cell>
        </row>
        <row r="76">
          <cell r="B76" t="str">
            <v>BANGKA</v>
          </cell>
          <cell r="C76" t="str">
            <v>BELINYU</v>
          </cell>
          <cell r="D76" t="str">
            <v>BELINYU</v>
          </cell>
        </row>
        <row r="77">
          <cell r="B77" t="str">
            <v>BANGKA</v>
          </cell>
          <cell r="C77" t="str">
            <v>BELINYU</v>
          </cell>
          <cell r="D77" t="str">
            <v>BELINYU</v>
          </cell>
        </row>
        <row r="78">
          <cell r="B78" t="str">
            <v>BANGKA</v>
          </cell>
          <cell r="C78" t="str">
            <v>BELINYU</v>
          </cell>
          <cell r="D78" t="str">
            <v>BELINYU</v>
          </cell>
        </row>
        <row r="79">
          <cell r="B79" t="str">
            <v>BANGKA</v>
          </cell>
          <cell r="C79" t="str">
            <v>BELINYU</v>
          </cell>
          <cell r="D79" t="str">
            <v>BELINYU</v>
          </cell>
        </row>
        <row r="80">
          <cell r="B80" t="str">
            <v>BANGKA</v>
          </cell>
          <cell r="C80" t="str">
            <v>BELINYU</v>
          </cell>
          <cell r="D80" t="str">
            <v>GUNUNG MUDA</v>
          </cell>
        </row>
        <row r="81">
          <cell r="B81" t="str">
            <v>BANGKA</v>
          </cell>
          <cell r="C81" t="str">
            <v>BELINYU</v>
          </cell>
          <cell r="D81" t="str">
            <v>GUNUNG MUDA</v>
          </cell>
        </row>
        <row r="82">
          <cell r="B82" t="str">
            <v>BANGKA</v>
          </cell>
          <cell r="C82" t="str">
            <v>BELINYU</v>
          </cell>
          <cell r="D82" t="str">
            <v>GUNUNG MUDA</v>
          </cell>
        </row>
        <row r="83">
          <cell r="B83" t="str">
            <v>BANGKA</v>
          </cell>
          <cell r="C83" t="str">
            <v>BELINYU</v>
          </cell>
          <cell r="D83" t="str">
            <v>GUNUNG MUDA</v>
          </cell>
        </row>
        <row r="84">
          <cell r="B84" t="str">
            <v>BANGKA</v>
          </cell>
          <cell r="C84" t="str">
            <v>BELINYU</v>
          </cell>
          <cell r="D84" t="str">
            <v>GUNUNG MUDA</v>
          </cell>
        </row>
        <row r="85">
          <cell r="B85" t="str">
            <v>BANGKA</v>
          </cell>
          <cell r="C85" t="str">
            <v>BELINYU</v>
          </cell>
          <cell r="D85" t="str">
            <v>GUNUNG PELAWAN</v>
          </cell>
        </row>
        <row r="86">
          <cell r="B86" t="str">
            <v>BANGKA</v>
          </cell>
          <cell r="C86" t="str">
            <v>BELINYU</v>
          </cell>
          <cell r="D86" t="str">
            <v>GUNUNG PELAWAN</v>
          </cell>
        </row>
        <row r="87">
          <cell r="B87" t="str">
            <v>BANGKA</v>
          </cell>
          <cell r="C87" t="str">
            <v>BELINYU</v>
          </cell>
          <cell r="D87" t="str">
            <v>GUNUNG PELAWAN</v>
          </cell>
        </row>
        <row r="88">
          <cell r="B88" t="str">
            <v>BANGKA</v>
          </cell>
          <cell r="C88" t="str">
            <v>BELINYU</v>
          </cell>
          <cell r="D88" t="str">
            <v>RIDING PANJANG</v>
          </cell>
        </row>
        <row r="89">
          <cell r="B89" t="str">
            <v>BANGKA</v>
          </cell>
          <cell r="C89" t="str">
            <v>BELINYU</v>
          </cell>
          <cell r="D89" t="str">
            <v>RIDING PANJANG</v>
          </cell>
        </row>
        <row r="90">
          <cell r="B90" t="str">
            <v>BANGKA</v>
          </cell>
          <cell r="C90" t="str">
            <v>BELINYU</v>
          </cell>
          <cell r="D90" t="str">
            <v>RIDING PANJANG</v>
          </cell>
        </row>
        <row r="91">
          <cell r="B91" t="str">
            <v>BANGKA</v>
          </cell>
          <cell r="C91" t="str">
            <v>BELINYU</v>
          </cell>
          <cell r="D91" t="str">
            <v>RIDING PANJANG</v>
          </cell>
        </row>
        <row r="92">
          <cell r="B92" t="str">
            <v>BANGKA</v>
          </cell>
          <cell r="C92" t="str">
            <v>BELINYU</v>
          </cell>
          <cell r="D92" t="str">
            <v>LUMUT</v>
          </cell>
        </row>
        <row r="93">
          <cell r="B93" t="str">
            <v>BANGKA</v>
          </cell>
          <cell r="C93" t="str">
            <v>BELINYU</v>
          </cell>
          <cell r="D93" t="str">
            <v>LUMUT</v>
          </cell>
        </row>
        <row r="94">
          <cell r="B94" t="str">
            <v>BANGKA</v>
          </cell>
          <cell r="C94" t="str">
            <v>BELINYU</v>
          </cell>
          <cell r="D94" t="str">
            <v>BINTET</v>
          </cell>
        </row>
        <row r="95">
          <cell r="B95" t="str">
            <v>BANGKA</v>
          </cell>
          <cell r="C95" t="str">
            <v>BELINYU</v>
          </cell>
          <cell r="D95" t="str">
            <v>BINTET</v>
          </cell>
        </row>
        <row r="96">
          <cell r="B96" t="str">
            <v>BANGKA</v>
          </cell>
          <cell r="C96" t="str">
            <v>MERAWANG</v>
          </cell>
          <cell r="D96" t="str">
            <v>BATU RUSA</v>
          </cell>
        </row>
        <row r="97">
          <cell r="B97" t="str">
            <v>BANGKA</v>
          </cell>
          <cell r="C97" t="str">
            <v>MERAWANG</v>
          </cell>
          <cell r="D97" t="str">
            <v>BATU RUSA</v>
          </cell>
        </row>
        <row r="98">
          <cell r="B98" t="str">
            <v>BANGKA</v>
          </cell>
          <cell r="C98" t="str">
            <v>MERAWANG</v>
          </cell>
          <cell r="D98" t="str">
            <v>BATU RUSA</v>
          </cell>
        </row>
        <row r="99">
          <cell r="B99" t="str">
            <v>BANGKA</v>
          </cell>
          <cell r="C99" t="str">
            <v>MERAWANG</v>
          </cell>
          <cell r="D99" t="str">
            <v>BALUN IJUK</v>
          </cell>
        </row>
        <row r="100">
          <cell r="B100" t="str">
            <v>BANGKA</v>
          </cell>
          <cell r="C100" t="str">
            <v>MERAWANG</v>
          </cell>
          <cell r="D100" t="str">
            <v>BALUN IJUK</v>
          </cell>
        </row>
        <row r="101">
          <cell r="B101" t="str">
            <v>BANGKA</v>
          </cell>
          <cell r="C101" t="str">
            <v>MERAWANG</v>
          </cell>
          <cell r="D101" t="str">
            <v>BALUN IJUK</v>
          </cell>
        </row>
        <row r="102">
          <cell r="B102" t="str">
            <v>BANGKA</v>
          </cell>
          <cell r="C102" t="str">
            <v>MERAWANG</v>
          </cell>
          <cell r="D102" t="str">
            <v>BALUN IJUK</v>
          </cell>
        </row>
        <row r="103">
          <cell r="B103" t="str">
            <v>BANGKA</v>
          </cell>
          <cell r="C103" t="str">
            <v>MERAWANG</v>
          </cell>
          <cell r="D103" t="str">
            <v>RIDING PANJANG</v>
          </cell>
        </row>
        <row r="104">
          <cell r="B104" t="str">
            <v>BANGKA</v>
          </cell>
          <cell r="C104" t="str">
            <v>MERAWANG</v>
          </cell>
          <cell r="D104" t="str">
            <v>RIDING PANJANG</v>
          </cell>
        </row>
        <row r="105">
          <cell r="B105" t="str">
            <v>BANGKA</v>
          </cell>
          <cell r="C105" t="str">
            <v>MERAWANG</v>
          </cell>
          <cell r="D105" t="str">
            <v>RIDING PANJANG</v>
          </cell>
        </row>
        <row r="106">
          <cell r="B106" t="str">
            <v>BANGKA</v>
          </cell>
          <cell r="C106" t="str">
            <v>MERAWANG</v>
          </cell>
          <cell r="D106" t="str">
            <v>JURUNG</v>
          </cell>
        </row>
        <row r="107">
          <cell r="B107" t="str">
            <v>BANGKA</v>
          </cell>
          <cell r="C107" t="str">
            <v>MERAWANG</v>
          </cell>
          <cell r="D107" t="str">
            <v>JURUNG</v>
          </cell>
        </row>
        <row r="108">
          <cell r="B108" t="str">
            <v>BANGKA</v>
          </cell>
          <cell r="C108" t="str">
            <v>MERAWANG</v>
          </cell>
          <cell r="D108" t="str">
            <v>KIMAK</v>
          </cell>
        </row>
        <row r="109">
          <cell r="B109" t="str">
            <v>BANGKA</v>
          </cell>
          <cell r="C109" t="str">
            <v>MERAWANG</v>
          </cell>
          <cell r="D109" t="str">
            <v>KIMAK</v>
          </cell>
        </row>
        <row r="110">
          <cell r="B110" t="str">
            <v>BANGKA</v>
          </cell>
          <cell r="C110" t="str">
            <v>MERAWANG</v>
          </cell>
          <cell r="D110" t="str">
            <v>KIMAK</v>
          </cell>
        </row>
        <row r="111">
          <cell r="B111" t="str">
            <v>BANGKA</v>
          </cell>
          <cell r="C111" t="str">
            <v>MERAWANG</v>
          </cell>
          <cell r="D111" t="str">
            <v>PAGARAWAN</v>
          </cell>
        </row>
        <row r="112">
          <cell r="B112" t="str">
            <v>BANGKA</v>
          </cell>
          <cell r="C112" t="str">
            <v>MERAWANG</v>
          </cell>
          <cell r="D112" t="str">
            <v>PAGARAWAN</v>
          </cell>
        </row>
        <row r="113">
          <cell r="B113" t="str">
            <v>BANGKA</v>
          </cell>
          <cell r="C113" t="str">
            <v>MERAWANG</v>
          </cell>
          <cell r="D113" t="str">
            <v>PAGARAWAN</v>
          </cell>
        </row>
        <row r="114">
          <cell r="B114" t="str">
            <v>BANGKA</v>
          </cell>
          <cell r="C114" t="str">
            <v>MERAWANG</v>
          </cell>
          <cell r="D114" t="str">
            <v>MERAWANG</v>
          </cell>
        </row>
        <row r="115">
          <cell r="B115" t="str">
            <v>BANGKA</v>
          </cell>
          <cell r="C115" t="str">
            <v>MERAWANG</v>
          </cell>
          <cell r="D115" t="str">
            <v>MERAWANG</v>
          </cell>
        </row>
        <row r="116">
          <cell r="B116" t="str">
            <v>BANGKA</v>
          </cell>
          <cell r="C116" t="str">
            <v>MERAWANG</v>
          </cell>
          <cell r="D116" t="str">
            <v>AIR ANYIR</v>
          </cell>
        </row>
        <row r="117">
          <cell r="B117" t="str">
            <v>BANGKA</v>
          </cell>
          <cell r="C117" t="str">
            <v>MERAWANG</v>
          </cell>
          <cell r="D117" t="str">
            <v>AIR ANYIR</v>
          </cell>
        </row>
        <row r="118">
          <cell r="B118" t="str">
            <v>BANGKA</v>
          </cell>
          <cell r="C118" t="str">
            <v>MERAWANG</v>
          </cell>
          <cell r="D118" t="str">
            <v>DWI MAKMUR</v>
          </cell>
        </row>
        <row r="119">
          <cell r="B119" t="str">
            <v>BANGKA</v>
          </cell>
          <cell r="C119" t="str">
            <v>MERAWANG</v>
          </cell>
          <cell r="D119" t="str">
            <v>JADA BAHRIN</v>
          </cell>
        </row>
        <row r="120">
          <cell r="B120" t="str">
            <v>BANGKA</v>
          </cell>
          <cell r="C120" t="str">
            <v>MERAWANG</v>
          </cell>
          <cell r="D120" t="str">
            <v>JADA BAHRIN</v>
          </cell>
        </row>
        <row r="121">
          <cell r="B121" t="str">
            <v>BANGKA</v>
          </cell>
          <cell r="C121" t="str">
            <v>MENDO BARAT</v>
          </cell>
          <cell r="D121" t="str">
            <v>PETALING</v>
          </cell>
        </row>
        <row r="122">
          <cell r="B122" t="str">
            <v>BANGKA</v>
          </cell>
          <cell r="C122" t="str">
            <v>MENDO BARAT</v>
          </cell>
          <cell r="D122" t="str">
            <v>PETALING</v>
          </cell>
        </row>
        <row r="123">
          <cell r="B123" t="str">
            <v>BANGKA</v>
          </cell>
          <cell r="C123" t="str">
            <v>MENDO BARAT</v>
          </cell>
          <cell r="D123" t="str">
            <v>PETALING</v>
          </cell>
        </row>
        <row r="124">
          <cell r="B124" t="str">
            <v>BANGKA</v>
          </cell>
          <cell r="C124" t="str">
            <v>MENDO BARAT</v>
          </cell>
          <cell r="D124" t="str">
            <v>PENAGAN</v>
          </cell>
        </row>
        <row r="125">
          <cell r="B125" t="str">
            <v>BANGKA</v>
          </cell>
          <cell r="C125" t="str">
            <v>MENDO BARAT</v>
          </cell>
          <cell r="D125" t="str">
            <v>PENAGAN</v>
          </cell>
        </row>
        <row r="126">
          <cell r="B126" t="str">
            <v>BANGKA</v>
          </cell>
          <cell r="C126" t="str">
            <v>MENDO BARAT</v>
          </cell>
          <cell r="D126" t="str">
            <v>PENAGAN</v>
          </cell>
        </row>
        <row r="127">
          <cell r="B127" t="str">
            <v>BANGKA</v>
          </cell>
          <cell r="C127" t="str">
            <v>MENDO BARAT</v>
          </cell>
          <cell r="D127" t="str">
            <v>PENAGAN</v>
          </cell>
        </row>
        <row r="128">
          <cell r="B128" t="str">
            <v>BANGKA</v>
          </cell>
          <cell r="C128" t="str">
            <v>MENDO BARAT</v>
          </cell>
          <cell r="D128" t="str">
            <v>PENAGAN</v>
          </cell>
        </row>
        <row r="129">
          <cell r="B129" t="str">
            <v>BANGKA</v>
          </cell>
          <cell r="C129" t="str">
            <v>MENDO BARAT</v>
          </cell>
          <cell r="D129" t="str">
            <v>ZED</v>
          </cell>
        </row>
        <row r="130">
          <cell r="B130" t="str">
            <v>BANGKA</v>
          </cell>
          <cell r="C130" t="str">
            <v>MENDO BARAT</v>
          </cell>
          <cell r="D130" t="str">
            <v>ZED</v>
          </cell>
        </row>
        <row r="131">
          <cell r="B131" t="str">
            <v>BANGKA</v>
          </cell>
          <cell r="C131" t="str">
            <v>MENDO BARAT</v>
          </cell>
          <cell r="D131" t="str">
            <v>MENDO</v>
          </cell>
        </row>
        <row r="132">
          <cell r="B132" t="str">
            <v>BANGKA</v>
          </cell>
          <cell r="C132" t="str">
            <v>MENDO BARAT</v>
          </cell>
          <cell r="D132" t="str">
            <v>MENDO</v>
          </cell>
        </row>
        <row r="133">
          <cell r="B133" t="str">
            <v>BANGKA</v>
          </cell>
          <cell r="C133" t="str">
            <v>MENDO BARAT</v>
          </cell>
          <cell r="D133" t="str">
            <v>PAYA BENUA</v>
          </cell>
        </row>
        <row r="134">
          <cell r="B134" t="str">
            <v>BANGKA</v>
          </cell>
          <cell r="C134" t="str">
            <v>MENDO BARAT</v>
          </cell>
          <cell r="D134" t="str">
            <v>PAYA BENUA</v>
          </cell>
        </row>
        <row r="135">
          <cell r="B135" t="str">
            <v>BANGKA</v>
          </cell>
          <cell r="C135" t="str">
            <v>MENDO BARAT</v>
          </cell>
          <cell r="D135" t="str">
            <v>PAYA BENUA</v>
          </cell>
        </row>
        <row r="136">
          <cell r="B136" t="str">
            <v>BANGKA</v>
          </cell>
          <cell r="C136" t="str">
            <v>MENDO BARAT</v>
          </cell>
          <cell r="D136" t="str">
            <v>PAYA BENUA</v>
          </cell>
        </row>
        <row r="137">
          <cell r="B137" t="str">
            <v>NAMA KABUPATEN/KOTA</v>
          </cell>
          <cell r="C137" t="str">
            <v>NAMA KECAMATAN</v>
          </cell>
          <cell r="D137" t="str">
            <v>NAMA KELURAHAN</v>
          </cell>
        </row>
        <row r="142">
          <cell r="B142" t="str">
            <v>BANGKA</v>
          </cell>
          <cell r="C142" t="str">
            <v>MENDO BARAT</v>
          </cell>
          <cell r="D142" t="str">
            <v>CENGKONG ABANG</v>
          </cell>
        </row>
        <row r="143">
          <cell r="B143" t="str">
            <v>BANGKA</v>
          </cell>
          <cell r="C143" t="str">
            <v>MENDO BARAT</v>
          </cell>
          <cell r="D143" t="str">
            <v>CENGKONG ABANG</v>
          </cell>
        </row>
        <row r="144">
          <cell r="B144" t="str">
            <v>BANGKA</v>
          </cell>
          <cell r="C144" t="str">
            <v>MENDO BARAT</v>
          </cell>
          <cell r="D144" t="str">
            <v>CENGKONG ABANG</v>
          </cell>
        </row>
        <row r="145">
          <cell r="B145" t="str">
            <v>BANGKA</v>
          </cell>
          <cell r="C145" t="str">
            <v>MENDO BARAT</v>
          </cell>
          <cell r="D145" t="str">
            <v>KACE</v>
          </cell>
        </row>
        <row r="146">
          <cell r="B146" t="str">
            <v>BANGKA</v>
          </cell>
          <cell r="C146" t="str">
            <v>MENDO BARAT</v>
          </cell>
          <cell r="D146" t="str">
            <v>KACE</v>
          </cell>
        </row>
        <row r="147">
          <cell r="B147" t="str">
            <v>BANGKA</v>
          </cell>
          <cell r="C147" t="str">
            <v>MENDO BARAT</v>
          </cell>
          <cell r="D147" t="str">
            <v>KACE</v>
          </cell>
        </row>
        <row r="148">
          <cell r="B148" t="str">
            <v>BANGKA</v>
          </cell>
          <cell r="C148" t="str">
            <v>MENDO BARAT</v>
          </cell>
          <cell r="D148" t="str">
            <v>KACE</v>
          </cell>
        </row>
        <row r="149">
          <cell r="B149" t="str">
            <v>BANGKA</v>
          </cell>
          <cell r="C149" t="str">
            <v>MENDO BARAT</v>
          </cell>
          <cell r="D149" t="str">
            <v>KACE</v>
          </cell>
        </row>
        <row r="150">
          <cell r="B150" t="str">
            <v>BANGKA</v>
          </cell>
          <cell r="C150" t="str">
            <v>MENDO BARAT</v>
          </cell>
          <cell r="D150" t="str">
            <v>KEMUJA</v>
          </cell>
        </row>
        <row r="151">
          <cell r="B151" t="str">
            <v>BANGKA</v>
          </cell>
          <cell r="C151" t="str">
            <v>MENDO BARAT</v>
          </cell>
          <cell r="D151" t="str">
            <v>KEMUJA</v>
          </cell>
        </row>
        <row r="152">
          <cell r="B152" t="str">
            <v>BANGKA</v>
          </cell>
          <cell r="C152" t="str">
            <v>MENDO BARAT</v>
          </cell>
          <cell r="D152" t="str">
            <v>KEMUJA</v>
          </cell>
        </row>
        <row r="153">
          <cell r="B153" t="str">
            <v>BANGKA</v>
          </cell>
          <cell r="C153" t="str">
            <v>MENDO BARAT</v>
          </cell>
          <cell r="D153" t="str">
            <v>KEMUJA</v>
          </cell>
        </row>
        <row r="154">
          <cell r="B154" t="str">
            <v>BANGKA</v>
          </cell>
          <cell r="C154" t="str">
            <v>MENDO BARAT</v>
          </cell>
          <cell r="D154" t="str">
            <v>AIR DUREN</v>
          </cell>
        </row>
        <row r="155">
          <cell r="B155" t="str">
            <v>BANGKA</v>
          </cell>
          <cell r="C155" t="str">
            <v>MENDO BARAT</v>
          </cell>
          <cell r="D155" t="str">
            <v>KOTA KAPUR</v>
          </cell>
        </row>
        <row r="156">
          <cell r="B156" t="str">
            <v>BANGKA</v>
          </cell>
          <cell r="C156" t="str">
            <v>MENDO BARAT</v>
          </cell>
          <cell r="D156" t="str">
            <v>KOTA KAPUR</v>
          </cell>
        </row>
        <row r="157">
          <cell r="B157" t="str">
            <v>BANGKA</v>
          </cell>
          <cell r="C157" t="str">
            <v>MENDO BARAT</v>
          </cell>
          <cell r="D157" t="str">
            <v>AIR BULUH</v>
          </cell>
        </row>
        <row r="158">
          <cell r="B158" t="str">
            <v>BANGKA</v>
          </cell>
          <cell r="C158" t="str">
            <v>MENDO BARAT</v>
          </cell>
          <cell r="D158" t="str">
            <v>AIR BULUH</v>
          </cell>
        </row>
        <row r="159">
          <cell r="B159" t="str">
            <v>BANGKA</v>
          </cell>
          <cell r="C159" t="str">
            <v>MENDO BARAT</v>
          </cell>
          <cell r="D159" t="str">
            <v>RUKAM</v>
          </cell>
        </row>
        <row r="160">
          <cell r="B160" t="str">
            <v>BANGKA</v>
          </cell>
          <cell r="C160" t="str">
            <v>MENDO BARAT</v>
          </cell>
          <cell r="D160" t="str">
            <v>LABUH AIR PANDAN</v>
          </cell>
        </row>
        <row r="161">
          <cell r="B161" t="str">
            <v>BANGKA</v>
          </cell>
          <cell r="C161" t="str">
            <v>MENDO BARAT</v>
          </cell>
          <cell r="D161" t="str">
            <v>KACE TIMUR</v>
          </cell>
        </row>
        <row r="162">
          <cell r="B162" t="str">
            <v>BANGKA</v>
          </cell>
          <cell r="C162" t="str">
            <v>MENDO BARAT</v>
          </cell>
          <cell r="D162" t="str">
            <v>KACE TIMUR</v>
          </cell>
        </row>
        <row r="163">
          <cell r="B163" t="str">
            <v>BANGKA</v>
          </cell>
          <cell r="C163" t="str">
            <v>MENDO BARAT</v>
          </cell>
          <cell r="D163" t="str">
            <v>KACE TIMUR</v>
          </cell>
        </row>
        <row r="164">
          <cell r="B164" t="str">
            <v>BANGKA</v>
          </cell>
          <cell r="C164" t="str">
            <v>MENDO BARAT</v>
          </cell>
          <cell r="D164" t="str">
            <v>KACE TIMUR</v>
          </cell>
        </row>
        <row r="165">
          <cell r="B165" t="str">
            <v>BANGKA</v>
          </cell>
          <cell r="C165" t="str">
            <v>MENDO BARAT</v>
          </cell>
          <cell r="D165" t="str">
            <v>PETALING BANJAR</v>
          </cell>
        </row>
        <row r="166">
          <cell r="B166" t="str">
            <v>BANGKA</v>
          </cell>
          <cell r="C166" t="str">
            <v>MENDO BARAT</v>
          </cell>
          <cell r="D166" t="str">
            <v>PETALING BANJAR</v>
          </cell>
        </row>
        <row r="167">
          <cell r="B167" t="str">
            <v>BANGKA</v>
          </cell>
          <cell r="C167" t="str">
            <v>MENDO BARAT</v>
          </cell>
          <cell r="D167" t="str">
            <v>PETALING BANJAR</v>
          </cell>
        </row>
        <row r="168">
          <cell r="B168" t="str">
            <v>BANGKA</v>
          </cell>
          <cell r="C168" t="str">
            <v>PEMALI</v>
          </cell>
          <cell r="D168" t="str">
            <v>AIR RUAI</v>
          </cell>
        </row>
        <row r="169">
          <cell r="B169" t="str">
            <v>BANGKA</v>
          </cell>
          <cell r="C169" t="str">
            <v>PEMALI</v>
          </cell>
          <cell r="D169" t="str">
            <v>AIR RUAI</v>
          </cell>
        </row>
        <row r="170">
          <cell r="B170" t="str">
            <v>BANGKA</v>
          </cell>
          <cell r="C170" t="str">
            <v>PEMALI</v>
          </cell>
          <cell r="D170" t="str">
            <v>AIR RUAI</v>
          </cell>
        </row>
        <row r="171">
          <cell r="B171" t="str">
            <v>BANGKA</v>
          </cell>
          <cell r="C171" t="str">
            <v>PEMALI</v>
          </cell>
          <cell r="D171" t="str">
            <v>AIR RUAI</v>
          </cell>
        </row>
        <row r="172">
          <cell r="B172" t="str">
            <v>BANGKA</v>
          </cell>
          <cell r="C172" t="str">
            <v>PEMALI</v>
          </cell>
          <cell r="D172" t="str">
            <v>AIR RUAI</v>
          </cell>
        </row>
        <row r="173">
          <cell r="B173" t="str">
            <v>BANGKA</v>
          </cell>
          <cell r="C173" t="str">
            <v>PEMALI</v>
          </cell>
          <cell r="D173" t="str">
            <v>AIR RUAI</v>
          </cell>
        </row>
        <row r="174">
          <cell r="B174" t="str">
            <v>BANGKA</v>
          </cell>
          <cell r="C174" t="str">
            <v>PEMALI</v>
          </cell>
          <cell r="D174" t="str">
            <v>AIR DUREN</v>
          </cell>
        </row>
        <row r="175">
          <cell r="B175" t="str">
            <v>BANGKA</v>
          </cell>
          <cell r="C175" t="str">
            <v>PEMALI</v>
          </cell>
          <cell r="D175" t="str">
            <v>AIR DUREN</v>
          </cell>
        </row>
        <row r="176">
          <cell r="B176" t="str">
            <v>BANGKA</v>
          </cell>
          <cell r="C176" t="str">
            <v>PEMALI</v>
          </cell>
          <cell r="D176" t="str">
            <v>AIR DUREN</v>
          </cell>
        </row>
        <row r="177">
          <cell r="B177" t="str">
            <v>BANGKA</v>
          </cell>
          <cell r="C177" t="str">
            <v>PEMALI</v>
          </cell>
          <cell r="D177" t="str">
            <v>PENYAMUN</v>
          </cell>
        </row>
        <row r="178">
          <cell r="B178" t="str">
            <v>BANGKA</v>
          </cell>
          <cell r="C178" t="str">
            <v>PEMALI</v>
          </cell>
          <cell r="D178" t="str">
            <v>PENYAMUN</v>
          </cell>
        </row>
        <row r="179">
          <cell r="B179" t="str">
            <v>BANGKA</v>
          </cell>
          <cell r="C179" t="str">
            <v>PEMALI</v>
          </cell>
          <cell r="D179" t="str">
            <v>PENYAMUN</v>
          </cell>
        </row>
        <row r="180">
          <cell r="B180" t="str">
            <v>BANGKA</v>
          </cell>
          <cell r="C180" t="str">
            <v>PEMALI</v>
          </cell>
          <cell r="D180" t="str">
            <v>PENYAMUN</v>
          </cell>
        </row>
        <row r="181">
          <cell r="B181" t="str">
            <v>BANGKA</v>
          </cell>
          <cell r="C181" t="str">
            <v>PEMALI</v>
          </cell>
          <cell r="D181" t="str">
            <v>SEMPAN</v>
          </cell>
        </row>
        <row r="182">
          <cell r="B182" t="str">
            <v>BANGKA</v>
          </cell>
          <cell r="C182" t="str">
            <v>PEMALI</v>
          </cell>
          <cell r="D182" t="str">
            <v>SEMPAN</v>
          </cell>
        </row>
        <row r="183">
          <cell r="B183" t="str">
            <v>BANGKA</v>
          </cell>
          <cell r="C183" t="str">
            <v>PEMALI</v>
          </cell>
          <cell r="D183" t="str">
            <v>SEMPAN</v>
          </cell>
        </row>
        <row r="184">
          <cell r="B184" t="str">
            <v>BANGKA</v>
          </cell>
          <cell r="C184" t="str">
            <v>PEMALI</v>
          </cell>
          <cell r="D184" t="str">
            <v>PEMALI</v>
          </cell>
        </row>
        <row r="185">
          <cell r="B185" t="str">
            <v>BANGKA</v>
          </cell>
          <cell r="C185" t="str">
            <v>PEMALI</v>
          </cell>
          <cell r="D185" t="str">
            <v>PEMALI</v>
          </cell>
        </row>
        <row r="186">
          <cell r="B186" t="str">
            <v>BANGKA</v>
          </cell>
          <cell r="C186" t="str">
            <v>PEMALI</v>
          </cell>
          <cell r="D186" t="str">
            <v>PEMALI</v>
          </cell>
        </row>
        <row r="187">
          <cell r="B187" t="str">
            <v>BANGKA</v>
          </cell>
          <cell r="C187" t="str">
            <v>PEMALI</v>
          </cell>
          <cell r="D187" t="str">
            <v>KARYA MAKMUR</v>
          </cell>
        </row>
        <row r="188">
          <cell r="B188" t="str">
            <v>BANGKA</v>
          </cell>
          <cell r="C188" t="str">
            <v>PEMALI</v>
          </cell>
          <cell r="D188" t="str">
            <v>KARYA MAKMUR</v>
          </cell>
        </row>
        <row r="189">
          <cell r="B189" t="str">
            <v>BANGKA</v>
          </cell>
          <cell r="C189" t="str">
            <v>PEMALI</v>
          </cell>
          <cell r="D189" t="str">
            <v>KARYA MAKMUR</v>
          </cell>
        </row>
        <row r="190">
          <cell r="B190" t="str">
            <v>BANGKA</v>
          </cell>
          <cell r="C190" t="str">
            <v>PEMALI</v>
          </cell>
          <cell r="D190" t="str">
            <v>KARYA MAKMUR</v>
          </cell>
        </row>
        <row r="191">
          <cell r="B191" t="str">
            <v>BANGKA</v>
          </cell>
          <cell r="C191" t="str">
            <v>BAKAM</v>
          </cell>
          <cell r="D191" t="str">
            <v>BAKAM</v>
          </cell>
        </row>
        <row r="192">
          <cell r="B192" t="str">
            <v>BANGKA</v>
          </cell>
          <cell r="C192" t="str">
            <v>BAKAM</v>
          </cell>
          <cell r="D192" t="str">
            <v>BAKAM</v>
          </cell>
        </row>
        <row r="193">
          <cell r="B193" t="str">
            <v>BANGKA</v>
          </cell>
          <cell r="C193" t="str">
            <v>BAKAM</v>
          </cell>
          <cell r="D193" t="str">
            <v>KAPUK</v>
          </cell>
        </row>
        <row r="194">
          <cell r="B194" t="str">
            <v>BANGKA</v>
          </cell>
          <cell r="C194" t="str">
            <v>BAKAM</v>
          </cell>
          <cell r="D194" t="str">
            <v>DALIL</v>
          </cell>
        </row>
        <row r="195">
          <cell r="B195" t="str">
            <v>BANGKA</v>
          </cell>
          <cell r="C195" t="str">
            <v>BAKAM</v>
          </cell>
          <cell r="D195" t="str">
            <v>DALIL</v>
          </cell>
        </row>
        <row r="196">
          <cell r="B196" t="str">
            <v>BANGKA</v>
          </cell>
          <cell r="C196" t="str">
            <v>BAKAM</v>
          </cell>
          <cell r="D196" t="str">
            <v>DALIL</v>
          </cell>
        </row>
        <row r="197">
          <cell r="B197" t="str">
            <v>BANGKA</v>
          </cell>
          <cell r="C197" t="str">
            <v>BAKAM</v>
          </cell>
          <cell r="D197" t="str">
            <v>NEKNANG</v>
          </cell>
        </row>
        <row r="198">
          <cell r="B198" t="str">
            <v>BANGKA</v>
          </cell>
          <cell r="C198" t="str">
            <v>BAKAM</v>
          </cell>
          <cell r="D198" t="str">
            <v>NEKNANG</v>
          </cell>
        </row>
        <row r="199">
          <cell r="B199" t="str">
            <v>BANGKA</v>
          </cell>
          <cell r="C199" t="str">
            <v>BAKAM</v>
          </cell>
          <cell r="D199" t="str">
            <v>TIANG TARAH</v>
          </cell>
        </row>
        <row r="200">
          <cell r="B200" t="str">
            <v>BANGKA</v>
          </cell>
          <cell r="C200" t="str">
            <v>BAKAM</v>
          </cell>
          <cell r="D200" t="str">
            <v>TIANG TARAH</v>
          </cell>
        </row>
        <row r="201">
          <cell r="B201" t="str">
            <v>BANGKA</v>
          </cell>
          <cell r="C201" t="str">
            <v>BAKAM</v>
          </cell>
          <cell r="D201" t="str">
            <v>MANGKA</v>
          </cell>
        </row>
        <row r="202">
          <cell r="B202" t="str">
            <v>BANGKA</v>
          </cell>
          <cell r="C202" t="str">
            <v>BAKAM</v>
          </cell>
          <cell r="D202" t="str">
            <v>MABAT</v>
          </cell>
        </row>
        <row r="203">
          <cell r="B203" t="str">
            <v>BANGKA</v>
          </cell>
          <cell r="C203" t="str">
            <v>BAKAM</v>
          </cell>
          <cell r="D203" t="str">
            <v>MABAT</v>
          </cell>
        </row>
        <row r="204">
          <cell r="B204" t="str">
            <v>BANGKA</v>
          </cell>
          <cell r="C204" t="str">
            <v>BAKAM</v>
          </cell>
          <cell r="D204" t="str">
            <v>BUKIT LAYANG</v>
          </cell>
        </row>
        <row r="205">
          <cell r="B205" t="str">
            <v>BANGKA</v>
          </cell>
          <cell r="C205" t="str">
            <v>BAKAM</v>
          </cell>
          <cell r="D205" t="str">
            <v>BUKIT LAYANG</v>
          </cell>
        </row>
        <row r="206">
          <cell r="B206" t="str">
            <v>NAMA KABUPATEN/KOTA</v>
          </cell>
          <cell r="C206" t="str">
            <v>NAMA KECAMATAN</v>
          </cell>
          <cell r="D206" t="str">
            <v>NAMA KELURAHAN</v>
          </cell>
        </row>
        <row r="211">
          <cell r="B211" t="str">
            <v>BANGKA</v>
          </cell>
          <cell r="C211" t="str">
            <v>BAKAM</v>
          </cell>
          <cell r="D211" t="str">
            <v>BUKIT LAYANG</v>
          </cell>
        </row>
        <row r="212">
          <cell r="B212" t="str">
            <v>BANGKA</v>
          </cell>
          <cell r="C212" t="str">
            <v>BAKAM</v>
          </cell>
          <cell r="D212" t="str">
            <v>MARAS SENANG</v>
          </cell>
        </row>
        <row r="213">
          <cell r="B213" t="str">
            <v>BANGKA</v>
          </cell>
          <cell r="C213" t="str">
            <v>RIAU SILIP</v>
          </cell>
          <cell r="D213" t="str">
            <v>RIAU</v>
          </cell>
        </row>
        <row r="214">
          <cell r="B214" t="str">
            <v>BANGKA</v>
          </cell>
          <cell r="C214" t="str">
            <v>RIAU SILIP</v>
          </cell>
          <cell r="D214" t="str">
            <v>RIAU</v>
          </cell>
        </row>
        <row r="215">
          <cell r="B215" t="str">
            <v>BANGKA</v>
          </cell>
          <cell r="C215" t="str">
            <v>RIAU SILIP</v>
          </cell>
          <cell r="D215" t="str">
            <v>RIAU</v>
          </cell>
        </row>
        <row r="216">
          <cell r="B216" t="str">
            <v>BANGKA</v>
          </cell>
          <cell r="C216" t="str">
            <v>RIAU SILIP</v>
          </cell>
          <cell r="D216" t="str">
            <v>PANGKAL NIUR</v>
          </cell>
        </row>
        <row r="217">
          <cell r="B217" t="str">
            <v>BANGKA</v>
          </cell>
          <cell r="C217" t="str">
            <v>RIAU SILIP</v>
          </cell>
          <cell r="D217" t="str">
            <v>PANGKAL NIUR</v>
          </cell>
        </row>
        <row r="218">
          <cell r="B218" t="str">
            <v>BANGKA</v>
          </cell>
          <cell r="C218" t="str">
            <v>RIAU SILIP</v>
          </cell>
          <cell r="D218" t="str">
            <v>PANGKAL NIUR</v>
          </cell>
        </row>
        <row r="219">
          <cell r="B219" t="str">
            <v>BANGKA</v>
          </cell>
          <cell r="C219" t="str">
            <v>RIAU SILIP</v>
          </cell>
          <cell r="D219" t="str">
            <v>PUGUL</v>
          </cell>
        </row>
        <row r="220">
          <cell r="B220" t="str">
            <v>BANGKA</v>
          </cell>
          <cell r="C220" t="str">
            <v>RIAU SILIP</v>
          </cell>
          <cell r="D220" t="str">
            <v>PUGUL</v>
          </cell>
        </row>
        <row r="221">
          <cell r="B221" t="str">
            <v>BANGKA</v>
          </cell>
          <cell r="C221" t="str">
            <v>RIAU SILIP</v>
          </cell>
          <cell r="D221" t="str">
            <v>PUGUL</v>
          </cell>
        </row>
        <row r="222">
          <cell r="B222" t="str">
            <v>BANGKA</v>
          </cell>
          <cell r="C222" t="str">
            <v>RIAU SILIP</v>
          </cell>
          <cell r="D222" t="str">
            <v>CIT</v>
          </cell>
        </row>
        <row r="223">
          <cell r="B223" t="str">
            <v>BANGKA</v>
          </cell>
          <cell r="C223" t="str">
            <v>RIAU SILIP</v>
          </cell>
          <cell r="D223" t="str">
            <v>CIT</v>
          </cell>
        </row>
        <row r="224">
          <cell r="B224" t="str">
            <v>BANGKA</v>
          </cell>
          <cell r="C224" t="str">
            <v>RIAU SILIP</v>
          </cell>
          <cell r="D224" t="str">
            <v>CIT</v>
          </cell>
        </row>
        <row r="225">
          <cell r="B225" t="str">
            <v>BANGKA</v>
          </cell>
          <cell r="C225" t="str">
            <v>RIAU SILIP</v>
          </cell>
          <cell r="D225" t="str">
            <v>CIT</v>
          </cell>
        </row>
        <row r="226">
          <cell r="B226" t="str">
            <v>BANGKA</v>
          </cell>
          <cell r="C226" t="str">
            <v>RIAU SILIP</v>
          </cell>
          <cell r="D226" t="str">
            <v>DENIANG</v>
          </cell>
        </row>
        <row r="227">
          <cell r="B227" t="str">
            <v>BANGKA</v>
          </cell>
          <cell r="C227" t="str">
            <v>RIAU SILIP</v>
          </cell>
          <cell r="D227" t="str">
            <v>DENIANG</v>
          </cell>
        </row>
        <row r="228">
          <cell r="B228" t="str">
            <v>BANGKA</v>
          </cell>
          <cell r="C228" t="str">
            <v>RIAU SILIP</v>
          </cell>
          <cell r="D228" t="str">
            <v>SILIP</v>
          </cell>
        </row>
        <row r="229">
          <cell r="B229" t="str">
            <v>BANGKA</v>
          </cell>
          <cell r="C229" t="str">
            <v>RIAU SILIP</v>
          </cell>
          <cell r="D229" t="str">
            <v>SILIP</v>
          </cell>
        </row>
        <row r="230">
          <cell r="B230" t="str">
            <v>BANGKA</v>
          </cell>
          <cell r="C230" t="str">
            <v>RIAU SILIP</v>
          </cell>
          <cell r="D230" t="str">
            <v>MAPUR</v>
          </cell>
        </row>
        <row r="231">
          <cell r="B231" t="str">
            <v>BANGKA</v>
          </cell>
          <cell r="C231" t="str">
            <v>RIAU SILIP</v>
          </cell>
          <cell r="D231" t="str">
            <v>MAPUR</v>
          </cell>
        </row>
        <row r="232">
          <cell r="B232" t="str">
            <v>BANGKA</v>
          </cell>
          <cell r="C232" t="str">
            <v>RIAU SILIP</v>
          </cell>
          <cell r="D232" t="str">
            <v>BANYU ASIN</v>
          </cell>
        </row>
        <row r="233">
          <cell r="B233" t="str">
            <v>BANGKA</v>
          </cell>
          <cell r="C233" t="str">
            <v>RIAU SILIP</v>
          </cell>
          <cell r="D233" t="str">
            <v>BERBURA</v>
          </cell>
        </row>
        <row r="234">
          <cell r="B234" t="str">
            <v>BANGKA</v>
          </cell>
          <cell r="C234" t="str">
            <v>PUDING BESAR</v>
          </cell>
          <cell r="D234" t="str">
            <v>PUDING BESAR</v>
          </cell>
        </row>
        <row r="235">
          <cell r="B235" t="str">
            <v>BANGKA</v>
          </cell>
          <cell r="C235" t="str">
            <v>PUDING BESAR</v>
          </cell>
          <cell r="D235" t="str">
            <v>PUDING BESAR</v>
          </cell>
        </row>
        <row r="236">
          <cell r="B236" t="str">
            <v>BANGKA</v>
          </cell>
          <cell r="C236" t="str">
            <v>PUDING BESAR</v>
          </cell>
          <cell r="D236" t="str">
            <v>PUDING BESAR</v>
          </cell>
        </row>
        <row r="237">
          <cell r="B237" t="str">
            <v>BANGKA</v>
          </cell>
          <cell r="C237" t="str">
            <v>PUDING BESAR</v>
          </cell>
          <cell r="D237" t="str">
            <v>PUDING BESAR</v>
          </cell>
        </row>
        <row r="238">
          <cell r="B238" t="str">
            <v>BANGKA</v>
          </cell>
          <cell r="C238" t="str">
            <v>PUDING BESAR</v>
          </cell>
          <cell r="D238" t="str">
            <v>LABU</v>
          </cell>
        </row>
        <row r="239">
          <cell r="B239" t="str">
            <v>BANGKA</v>
          </cell>
          <cell r="C239" t="str">
            <v>PUDING BESAR</v>
          </cell>
          <cell r="D239" t="str">
            <v>LABU</v>
          </cell>
        </row>
        <row r="240">
          <cell r="B240" t="str">
            <v>BANGKA</v>
          </cell>
          <cell r="C240" t="str">
            <v>PUDING BESAR</v>
          </cell>
          <cell r="D240" t="str">
            <v>NIBUNG</v>
          </cell>
        </row>
        <row r="241">
          <cell r="B241" t="str">
            <v>BANGKA</v>
          </cell>
          <cell r="C241" t="str">
            <v>PUDING BESAR</v>
          </cell>
          <cell r="D241" t="str">
            <v>NIBUNG</v>
          </cell>
        </row>
        <row r="242">
          <cell r="B242" t="str">
            <v>BANGKA</v>
          </cell>
          <cell r="C242" t="str">
            <v>PUDING BESAR</v>
          </cell>
          <cell r="D242" t="str">
            <v>TANAH BAWAH</v>
          </cell>
        </row>
        <row r="243">
          <cell r="B243" t="str">
            <v>BANGKA</v>
          </cell>
          <cell r="C243" t="str">
            <v>PUDING BESAR</v>
          </cell>
          <cell r="D243" t="str">
            <v>TANAH BAWAH</v>
          </cell>
        </row>
        <row r="244">
          <cell r="B244" t="str">
            <v>BANGKA</v>
          </cell>
          <cell r="C244" t="str">
            <v>PUDING BESAR</v>
          </cell>
          <cell r="D244" t="str">
            <v>SAING</v>
          </cell>
        </row>
        <row r="245">
          <cell r="B245" t="str">
            <v>BANGKA</v>
          </cell>
          <cell r="C245" t="str">
            <v>PUDING BESAR</v>
          </cell>
          <cell r="D245" t="str">
            <v>SAING</v>
          </cell>
        </row>
        <row r="246">
          <cell r="B246" t="str">
            <v>BANGKA</v>
          </cell>
          <cell r="C246" t="str">
            <v>PUDING BESAR</v>
          </cell>
          <cell r="D246" t="str">
            <v>KOTA WARINGIN</v>
          </cell>
        </row>
        <row r="247">
          <cell r="B247" t="str">
            <v>BANGKA</v>
          </cell>
          <cell r="C247" t="str">
            <v>PUDING BESAR</v>
          </cell>
          <cell r="D247" t="str">
            <v>KOTA WARINGIN</v>
          </cell>
        </row>
        <row r="248">
          <cell r="B248" t="str">
            <v>BANGKA</v>
          </cell>
          <cell r="C248" t="str">
            <v>PUDING BESAR</v>
          </cell>
          <cell r="D248" t="str">
            <v>KOTA WARINGIN</v>
          </cell>
        </row>
        <row r="249">
          <cell r="B249" t="str">
            <v>BANGKA</v>
          </cell>
          <cell r="C249" t="str">
            <v>PUDING BESAR</v>
          </cell>
          <cell r="D249" t="str">
            <v>KAYU BESI</v>
          </cell>
        </row>
        <row r="250">
          <cell r="B250" t="str">
            <v>BANGKA</v>
          </cell>
          <cell r="C250" t="str">
            <v>PUDING BESAR</v>
          </cell>
          <cell r="D250" t="str">
            <v>KAYU BESI</v>
          </cell>
        </row>
        <row r="251">
          <cell r="B251" t="str">
            <v>BELITUNG</v>
          </cell>
          <cell r="C251" t="str">
            <v>TANJUNG PANDAN</v>
          </cell>
          <cell r="D251" t="str">
            <v>KOTA</v>
          </cell>
        </row>
        <row r="252">
          <cell r="B252" t="str">
            <v>BELITUNG</v>
          </cell>
          <cell r="C252" t="str">
            <v>TANJUNG PANDAN</v>
          </cell>
          <cell r="D252" t="str">
            <v>KOTA</v>
          </cell>
        </row>
        <row r="253">
          <cell r="B253" t="str">
            <v>BELITUNG</v>
          </cell>
          <cell r="C253" t="str">
            <v>TANJUNG PANDAN</v>
          </cell>
          <cell r="D253" t="str">
            <v>PARIT</v>
          </cell>
        </row>
        <row r="254">
          <cell r="B254" t="str">
            <v>BELITUNG</v>
          </cell>
          <cell r="C254" t="str">
            <v>TANJUNG PANDAN</v>
          </cell>
          <cell r="D254" t="str">
            <v>PARIT</v>
          </cell>
        </row>
        <row r="255">
          <cell r="B255" t="str">
            <v>BELITUNG</v>
          </cell>
          <cell r="C255" t="str">
            <v>TANJUNG PANDAN</v>
          </cell>
          <cell r="D255" t="str">
            <v>PARIT</v>
          </cell>
        </row>
        <row r="256">
          <cell r="B256" t="str">
            <v>BELITUNG</v>
          </cell>
          <cell r="C256" t="str">
            <v>TANJUNG PANDAN</v>
          </cell>
          <cell r="D256" t="str">
            <v>PARIT</v>
          </cell>
        </row>
        <row r="257">
          <cell r="B257" t="str">
            <v>BELITUNG</v>
          </cell>
          <cell r="C257" t="str">
            <v>TANJUNG PANDAN</v>
          </cell>
          <cell r="D257" t="str">
            <v>LESUNG BATANG</v>
          </cell>
        </row>
        <row r="258">
          <cell r="B258" t="str">
            <v>BELITUNG</v>
          </cell>
          <cell r="C258" t="str">
            <v>TANJUNG PANDAN</v>
          </cell>
          <cell r="D258" t="str">
            <v>LESUNG BATANG</v>
          </cell>
        </row>
        <row r="259">
          <cell r="B259" t="str">
            <v>BELITUNG</v>
          </cell>
          <cell r="C259" t="str">
            <v>TANJUNG PANDAN</v>
          </cell>
          <cell r="D259" t="str">
            <v>LESUNG BATANG</v>
          </cell>
        </row>
        <row r="260">
          <cell r="B260" t="str">
            <v>BELITUNG</v>
          </cell>
          <cell r="C260" t="str">
            <v>TANJUNG PANDAN</v>
          </cell>
          <cell r="D260" t="str">
            <v>LESUNG BATANG</v>
          </cell>
        </row>
        <row r="261">
          <cell r="B261" t="str">
            <v>BELITUNG</v>
          </cell>
          <cell r="C261" t="str">
            <v>TANJUNG PANDAN</v>
          </cell>
          <cell r="D261" t="str">
            <v>LESUNG BATANG</v>
          </cell>
        </row>
        <row r="262">
          <cell r="B262" t="str">
            <v>BELITUNG</v>
          </cell>
          <cell r="C262" t="str">
            <v>TANJUNG PANDAN</v>
          </cell>
          <cell r="D262" t="str">
            <v>PANGKALLALANG</v>
          </cell>
        </row>
        <row r="263">
          <cell r="B263" t="str">
            <v>BELITUNG</v>
          </cell>
          <cell r="C263" t="str">
            <v>TANJUNG PANDAN</v>
          </cell>
          <cell r="D263" t="str">
            <v>PANGKALLALANG</v>
          </cell>
        </row>
        <row r="264">
          <cell r="B264" t="str">
            <v>BELITUNG</v>
          </cell>
          <cell r="C264" t="str">
            <v>TANJUNG PANDAN</v>
          </cell>
          <cell r="D264" t="str">
            <v>PANGKALLALANG</v>
          </cell>
        </row>
        <row r="265">
          <cell r="B265" t="str">
            <v>BELITUNG</v>
          </cell>
          <cell r="C265" t="str">
            <v>TANJUNG PANDAN</v>
          </cell>
          <cell r="D265" t="str">
            <v>PANGKALLALANG</v>
          </cell>
        </row>
        <row r="266">
          <cell r="B266" t="str">
            <v>BELITUNG</v>
          </cell>
          <cell r="C266" t="str">
            <v>TANJUNG PANDAN</v>
          </cell>
          <cell r="D266" t="str">
            <v>PANGKALLALANG</v>
          </cell>
        </row>
        <row r="267">
          <cell r="B267" t="str">
            <v>BELITUNG</v>
          </cell>
          <cell r="C267" t="str">
            <v>TANJUNG PANDAN</v>
          </cell>
          <cell r="D267" t="str">
            <v>PANGKALLALANG</v>
          </cell>
        </row>
        <row r="268">
          <cell r="B268" t="str">
            <v>BELITUNG</v>
          </cell>
          <cell r="C268" t="str">
            <v>TANJUNG PANDAN</v>
          </cell>
          <cell r="D268" t="str">
            <v>PANGKALLALANG</v>
          </cell>
        </row>
        <row r="269">
          <cell r="B269" t="str">
            <v>BELITUNG</v>
          </cell>
          <cell r="C269" t="str">
            <v>TANJUNG PANDAN</v>
          </cell>
          <cell r="D269" t="str">
            <v>PANGKALLALANG</v>
          </cell>
        </row>
        <row r="270">
          <cell r="B270" t="str">
            <v>BELITUNG</v>
          </cell>
          <cell r="C270" t="str">
            <v>TANJUNG PANDAN</v>
          </cell>
          <cell r="D270" t="str">
            <v>PANGKALLALANG</v>
          </cell>
        </row>
        <row r="271">
          <cell r="B271" t="str">
            <v>BELITUNG</v>
          </cell>
          <cell r="C271" t="str">
            <v>TANJUNG PANDAN</v>
          </cell>
          <cell r="D271" t="str">
            <v>TANJUNGPENDAM</v>
          </cell>
        </row>
        <row r="272">
          <cell r="B272" t="str">
            <v>BELITUNG</v>
          </cell>
          <cell r="C272" t="str">
            <v>TANJUNG PANDAN</v>
          </cell>
          <cell r="D272" t="str">
            <v>TANJUNGPENDAM</v>
          </cell>
        </row>
        <row r="273">
          <cell r="B273" t="str">
            <v>BELITUNG</v>
          </cell>
          <cell r="C273" t="str">
            <v>TANJUNG PANDAN</v>
          </cell>
          <cell r="D273" t="str">
            <v>TANJUNGPENDAM</v>
          </cell>
        </row>
        <row r="274">
          <cell r="B274" t="str">
            <v>BELITUNG</v>
          </cell>
          <cell r="C274" t="str">
            <v>TANJUNG PANDAN</v>
          </cell>
          <cell r="D274" t="str">
            <v>TANJUNGPENDAM</v>
          </cell>
        </row>
        <row r="275">
          <cell r="B275" t="str">
            <v>NAMA KABUPATEN/KOTA</v>
          </cell>
          <cell r="C275" t="str">
            <v>NAMA KECAMATAN</v>
          </cell>
          <cell r="D275" t="str">
            <v>NAMA KELURAHAN</v>
          </cell>
        </row>
        <row r="280">
          <cell r="B280" t="str">
            <v>BELITUNG</v>
          </cell>
          <cell r="C280" t="str">
            <v>TANJUNG PANDAN</v>
          </cell>
          <cell r="D280" t="str">
            <v>PAAL SATU</v>
          </cell>
        </row>
        <row r="281">
          <cell r="B281" t="str">
            <v>BELITUNG</v>
          </cell>
          <cell r="C281" t="str">
            <v>TANJUNG PANDAN</v>
          </cell>
          <cell r="D281" t="str">
            <v>PAAL SATU</v>
          </cell>
        </row>
        <row r="282">
          <cell r="B282" t="str">
            <v>BELITUNG</v>
          </cell>
          <cell r="C282" t="str">
            <v>TANJUNG PANDAN</v>
          </cell>
          <cell r="D282" t="str">
            <v>PAAL SATU</v>
          </cell>
        </row>
        <row r="283">
          <cell r="B283" t="str">
            <v>BELITUNG</v>
          </cell>
          <cell r="C283" t="str">
            <v>TANJUNG PANDAN</v>
          </cell>
          <cell r="D283" t="str">
            <v>PAAL SATU</v>
          </cell>
        </row>
        <row r="284">
          <cell r="B284" t="str">
            <v>BELITUNG</v>
          </cell>
          <cell r="C284" t="str">
            <v>TANJUNG PANDAN</v>
          </cell>
          <cell r="D284" t="str">
            <v>KAMPONG DAMAI</v>
          </cell>
        </row>
        <row r="285">
          <cell r="B285" t="str">
            <v>BELITUNG</v>
          </cell>
          <cell r="C285" t="str">
            <v>TANJUNG PANDAN</v>
          </cell>
          <cell r="D285" t="str">
            <v>KAMPONG DAMAI</v>
          </cell>
        </row>
        <row r="286">
          <cell r="B286" t="str">
            <v>BELITUNG</v>
          </cell>
          <cell r="C286" t="str">
            <v>TANJUNG PANDAN</v>
          </cell>
          <cell r="D286" t="str">
            <v>KAMPONG DAMAI</v>
          </cell>
        </row>
        <row r="287">
          <cell r="B287" t="str">
            <v>BELITUNG</v>
          </cell>
          <cell r="C287" t="str">
            <v>TANJUNG PANDAN</v>
          </cell>
          <cell r="D287" t="str">
            <v>BULUH TUMBANG</v>
          </cell>
        </row>
        <row r="288">
          <cell r="B288" t="str">
            <v>BELITUNG</v>
          </cell>
          <cell r="C288" t="str">
            <v>TANJUNG PANDAN</v>
          </cell>
          <cell r="D288" t="str">
            <v>BULUH TUMBANG</v>
          </cell>
        </row>
        <row r="289">
          <cell r="B289" t="str">
            <v>BELITUNG</v>
          </cell>
          <cell r="C289" t="str">
            <v>TANJUNG PANDAN</v>
          </cell>
          <cell r="D289" t="str">
            <v>BULUH TUMBANG</v>
          </cell>
        </row>
        <row r="290">
          <cell r="B290" t="str">
            <v>BELITUNG</v>
          </cell>
          <cell r="C290" t="str">
            <v>TANJUNG PANDAN</v>
          </cell>
          <cell r="D290" t="str">
            <v>PERAWAS</v>
          </cell>
        </row>
        <row r="291">
          <cell r="B291" t="str">
            <v>BELITUNG</v>
          </cell>
          <cell r="C291" t="str">
            <v>TANJUNG PANDAN</v>
          </cell>
          <cell r="D291" t="str">
            <v>PERAWAS</v>
          </cell>
        </row>
        <row r="292">
          <cell r="B292" t="str">
            <v>BELITUNG</v>
          </cell>
          <cell r="C292" t="str">
            <v>TANJUNG PANDAN</v>
          </cell>
          <cell r="D292" t="str">
            <v>PERAWAS</v>
          </cell>
        </row>
        <row r="293">
          <cell r="B293" t="str">
            <v>BELITUNG</v>
          </cell>
          <cell r="C293" t="str">
            <v>TANJUNG PANDAN</v>
          </cell>
          <cell r="D293" t="str">
            <v>DUKONG</v>
          </cell>
        </row>
        <row r="294">
          <cell r="B294" t="str">
            <v>BELITUNG</v>
          </cell>
          <cell r="C294" t="str">
            <v>TANJUNG PANDAN</v>
          </cell>
          <cell r="D294" t="str">
            <v>DUKONG</v>
          </cell>
        </row>
        <row r="295">
          <cell r="B295" t="str">
            <v>BELITUNG</v>
          </cell>
          <cell r="C295" t="str">
            <v>TANJUNG PANDAN</v>
          </cell>
          <cell r="D295" t="str">
            <v>DUKONG</v>
          </cell>
        </row>
        <row r="296">
          <cell r="B296" t="str">
            <v>BELITUNG</v>
          </cell>
          <cell r="C296" t="str">
            <v>TANJUNG PANDAN</v>
          </cell>
          <cell r="D296" t="str">
            <v>JURU SEBERANG</v>
          </cell>
        </row>
        <row r="297">
          <cell r="B297" t="str">
            <v>BELITUNG</v>
          </cell>
          <cell r="C297" t="str">
            <v>TANJUNG PANDAN</v>
          </cell>
          <cell r="D297" t="str">
            <v>JURU SEBERANG</v>
          </cell>
        </row>
        <row r="298">
          <cell r="B298" t="str">
            <v>BELITUNG</v>
          </cell>
          <cell r="C298" t="str">
            <v>TANJUNG PANDAN</v>
          </cell>
          <cell r="D298" t="str">
            <v>AIR SAGA</v>
          </cell>
        </row>
        <row r="299">
          <cell r="B299" t="str">
            <v>BELITUNG</v>
          </cell>
          <cell r="C299" t="str">
            <v>TANJUNG PANDAN</v>
          </cell>
          <cell r="D299" t="str">
            <v>AIR SAGA</v>
          </cell>
        </row>
        <row r="300">
          <cell r="B300" t="str">
            <v>BELITUNG</v>
          </cell>
          <cell r="C300" t="str">
            <v>TANJUNG PANDAN</v>
          </cell>
          <cell r="D300" t="str">
            <v>AIR SAGA</v>
          </cell>
        </row>
        <row r="301">
          <cell r="B301" t="str">
            <v>BELITUNG</v>
          </cell>
          <cell r="C301" t="str">
            <v>TANJUNG PANDAN</v>
          </cell>
          <cell r="D301" t="str">
            <v>AIR SAGA</v>
          </cell>
        </row>
        <row r="302">
          <cell r="B302" t="str">
            <v>BELITUNG</v>
          </cell>
          <cell r="C302" t="str">
            <v>TANJUNG PANDAN</v>
          </cell>
          <cell r="D302" t="str">
            <v>AIR MERBAU</v>
          </cell>
        </row>
        <row r="303">
          <cell r="B303" t="str">
            <v>BELITUNG</v>
          </cell>
          <cell r="C303" t="str">
            <v>TANJUNG PANDAN</v>
          </cell>
          <cell r="D303" t="str">
            <v>AIR MERBAU</v>
          </cell>
        </row>
        <row r="304">
          <cell r="B304" t="str">
            <v>BELITUNG</v>
          </cell>
          <cell r="C304" t="str">
            <v>TANJUNG PANDAN</v>
          </cell>
          <cell r="D304" t="str">
            <v>AIR MERBAU</v>
          </cell>
        </row>
        <row r="305">
          <cell r="B305" t="str">
            <v>BELITUNG</v>
          </cell>
          <cell r="C305" t="str">
            <v>TANJUNG PANDAN</v>
          </cell>
          <cell r="D305" t="str">
            <v>AIR MERBAU</v>
          </cell>
        </row>
        <row r="306">
          <cell r="B306" t="str">
            <v>BELITUNG</v>
          </cell>
          <cell r="C306" t="str">
            <v>TANJUNG PANDAN</v>
          </cell>
          <cell r="D306" t="str">
            <v>AIK PELEMPANG JAYA</v>
          </cell>
        </row>
        <row r="307">
          <cell r="B307" t="str">
            <v>BELITUNG</v>
          </cell>
          <cell r="C307" t="str">
            <v>TANJUNG PANDAN</v>
          </cell>
          <cell r="D307" t="str">
            <v>AIK PELEMPANG JAYA</v>
          </cell>
        </row>
        <row r="308">
          <cell r="B308" t="str">
            <v>BELITUNG</v>
          </cell>
          <cell r="C308" t="str">
            <v>TANJUNG PANDAN</v>
          </cell>
          <cell r="D308" t="str">
            <v>AIK KETEKOK</v>
          </cell>
        </row>
        <row r="309">
          <cell r="B309" t="str">
            <v>BELITUNG</v>
          </cell>
          <cell r="C309" t="str">
            <v>TANJUNG PANDAN</v>
          </cell>
          <cell r="D309" t="str">
            <v>AIK KETEKOK</v>
          </cell>
        </row>
        <row r="310">
          <cell r="B310" t="str">
            <v>BELITUNG</v>
          </cell>
          <cell r="C310" t="str">
            <v>TANJUNG PANDAN</v>
          </cell>
          <cell r="D310" t="str">
            <v>AIK KETEKOK</v>
          </cell>
        </row>
        <row r="311">
          <cell r="B311" t="str">
            <v>BELITUNG</v>
          </cell>
          <cell r="C311" t="str">
            <v>TANJUNG PANDAN</v>
          </cell>
          <cell r="D311" t="str">
            <v>AIK RAYAK</v>
          </cell>
        </row>
        <row r="312">
          <cell r="B312" t="str">
            <v>BELITUNG</v>
          </cell>
          <cell r="C312" t="str">
            <v>TANJUNG PANDAN</v>
          </cell>
          <cell r="D312" t="str">
            <v>AIK RAYAK</v>
          </cell>
        </row>
        <row r="313">
          <cell r="B313" t="str">
            <v>BELITUNG</v>
          </cell>
          <cell r="C313" t="str">
            <v>TANJUNG PANDAN</v>
          </cell>
          <cell r="D313" t="str">
            <v>AIK RAYAK</v>
          </cell>
        </row>
        <row r="314">
          <cell r="B314" t="str">
            <v>BELITUNG</v>
          </cell>
          <cell r="C314" t="str">
            <v>TANJUNG PANDAN</v>
          </cell>
          <cell r="D314" t="str">
            <v>AIK RAYAK</v>
          </cell>
        </row>
        <row r="315">
          <cell r="B315" t="str">
            <v>BELITUNG</v>
          </cell>
          <cell r="C315" t="str">
            <v>TANJUNG PANDAN</v>
          </cell>
          <cell r="D315" t="str">
            <v>AIK RAYAK</v>
          </cell>
        </row>
        <row r="316">
          <cell r="B316" t="str">
            <v>BELITUNG</v>
          </cell>
          <cell r="C316" t="str">
            <v>TANJUNG PANDAN</v>
          </cell>
          <cell r="D316" t="str">
            <v>AIK RAYAK</v>
          </cell>
        </row>
        <row r="317">
          <cell r="B317" t="str">
            <v>BELITUNG</v>
          </cell>
          <cell r="C317" t="str">
            <v>MEMBALONG</v>
          </cell>
          <cell r="D317" t="str">
            <v>MEMBALONG</v>
          </cell>
        </row>
        <row r="318">
          <cell r="B318" t="str">
            <v>BELITUNG</v>
          </cell>
          <cell r="C318" t="str">
            <v>MEMBALONG</v>
          </cell>
          <cell r="D318" t="str">
            <v>MEMBALONG</v>
          </cell>
        </row>
        <row r="319">
          <cell r="B319" t="str">
            <v>BELITUNG</v>
          </cell>
          <cell r="C319" t="str">
            <v>MEMBALONG</v>
          </cell>
          <cell r="D319" t="str">
            <v>MEMBALONG</v>
          </cell>
        </row>
        <row r="320">
          <cell r="B320" t="str">
            <v>BELITUNG</v>
          </cell>
          <cell r="C320" t="str">
            <v>MEMBALONG</v>
          </cell>
          <cell r="D320" t="str">
            <v>PERPAT</v>
          </cell>
        </row>
        <row r="321">
          <cell r="B321" t="str">
            <v>BELITUNG</v>
          </cell>
          <cell r="C321" t="str">
            <v>MEMBALONG</v>
          </cell>
          <cell r="D321" t="str">
            <v>LASSAR</v>
          </cell>
        </row>
        <row r="322">
          <cell r="B322" t="str">
            <v>BELITUNG</v>
          </cell>
          <cell r="C322" t="str">
            <v>MEMBALONG</v>
          </cell>
          <cell r="D322" t="str">
            <v>LASSAR</v>
          </cell>
        </row>
        <row r="323">
          <cell r="B323" t="str">
            <v>BELITUNG</v>
          </cell>
          <cell r="C323" t="str">
            <v>MEMBALONG</v>
          </cell>
          <cell r="D323" t="str">
            <v>LASSAR</v>
          </cell>
        </row>
        <row r="324">
          <cell r="B324" t="str">
            <v>BELITUNG</v>
          </cell>
          <cell r="C324" t="str">
            <v>MEMBALONG</v>
          </cell>
          <cell r="D324" t="str">
            <v>SIMPANG RUSA</v>
          </cell>
        </row>
        <row r="325">
          <cell r="B325" t="str">
            <v>BELITUNG</v>
          </cell>
          <cell r="C325" t="str">
            <v>MEMBALONG</v>
          </cell>
          <cell r="D325" t="str">
            <v>KEMBIRI</v>
          </cell>
        </row>
        <row r="326">
          <cell r="B326" t="str">
            <v>BELITUNG</v>
          </cell>
          <cell r="C326" t="str">
            <v>MEMBALONG</v>
          </cell>
          <cell r="D326" t="str">
            <v>BANTAN</v>
          </cell>
        </row>
        <row r="327">
          <cell r="B327" t="str">
            <v>BELITUNG</v>
          </cell>
          <cell r="C327" t="str">
            <v>MEMBALONG</v>
          </cell>
          <cell r="D327" t="str">
            <v>TANJUNGRUSA</v>
          </cell>
        </row>
        <row r="328">
          <cell r="B328" t="str">
            <v>BELITUNG</v>
          </cell>
          <cell r="C328" t="str">
            <v>MEMBALONG</v>
          </cell>
          <cell r="D328" t="str">
            <v>MENTIGI</v>
          </cell>
        </row>
        <row r="329">
          <cell r="B329" t="str">
            <v>BELITUNG</v>
          </cell>
          <cell r="C329" t="str">
            <v>MEMBALONG</v>
          </cell>
          <cell r="D329" t="str">
            <v>PULAU SELIU</v>
          </cell>
        </row>
        <row r="330">
          <cell r="B330" t="str">
            <v>BELITUNG</v>
          </cell>
          <cell r="C330" t="str">
            <v>MEMBALONG</v>
          </cell>
          <cell r="D330" t="str">
            <v>PULAU SUMEDANG</v>
          </cell>
        </row>
        <row r="331">
          <cell r="B331" t="str">
            <v>BELITUNG</v>
          </cell>
          <cell r="C331" t="str">
            <v>MEMBALONG</v>
          </cell>
          <cell r="D331" t="str">
            <v>GUNUNG RITING</v>
          </cell>
        </row>
        <row r="332">
          <cell r="B332" t="str">
            <v>BELITUNG</v>
          </cell>
          <cell r="C332" t="str">
            <v>MEMBALONG</v>
          </cell>
          <cell r="D332" t="str">
            <v>PADANG KANDIS</v>
          </cell>
        </row>
        <row r="333">
          <cell r="B333" t="str">
            <v>BELITUNG</v>
          </cell>
          <cell r="C333" t="str">
            <v>SELAT NASIK</v>
          </cell>
          <cell r="D333" t="str">
            <v>SELAT NASIK</v>
          </cell>
        </row>
        <row r="334">
          <cell r="B334" t="str">
            <v>BELITUNG</v>
          </cell>
          <cell r="C334" t="str">
            <v>SELAT NASIK</v>
          </cell>
          <cell r="D334" t="str">
            <v>SELAT NASIK</v>
          </cell>
        </row>
        <row r="335">
          <cell r="B335" t="str">
            <v>BELITUNG</v>
          </cell>
          <cell r="C335" t="str">
            <v>SELAT NASIK</v>
          </cell>
          <cell r="D335" t="str">
            <v>PETALING</v>
          </cell>
        </row>
        <row r="336">
          <cell r="B336" t="str">
            <v>BELITUNG</v>
          </cell>
          <cell r="C336" t="str">
            <v>SELAT NASIK</v>
          </cell>
          <cell r="D336" t="str">
            <v>SUAK GUAL</v>
          </cell>
        </row>
        <row r="337">
          <cell r="B337" t="str">
            <v>BELITUNG</v>
          </cell>
          <cell r="C337" t="str">
            <v>SELAT NASIK</v>
          </cell>
          <cell r="D337" t="str">
            <v>PULAU GERSIK</v>
          </cell>
        </row>
        <row r="338">
          <cell r="B338" t="str">
            <v>BELITUNG</v>
          </cell>
          <cell r="C338" t="str">
            <v>SELAT NASIK</v>
          </cell>
          <cell r="D338" t="str">
            <v>PULAU GERSIK</v>
          </cell>
        </row>
        <row r="339">
          <cell r="B339" t="str">
            <v>BELITUNG</v>
          </cell>
          <cell r="C339" t="str">
            <v>SIJUK</v>
          </cell>
          <cell r="D339" t="str">
            <v>SIJUK</v>
          </cell>
        </row>
        <row r="340">
          <cell r="B340" t="str">
            <v>BELITUNG</v>
          </cell>
          <cell r="C340" t="str">
            <v>SIJUK</v>
          </cell>
          <cell r="D340" t="str">
            <v>SIJUK</v>
          </cell>
        </row>
        <row r="341">
          <cell r="B341" t="str">
            <v>BELITUNG</v>
          </cell>
          <cell r="C341" t="str">
            <v>SIJUK</v>
          </cell>
          <cell r="D341" t="str">
            <v>SIJUK</v>
          </cell>
        </row>
        <row r="342">
          <cell r="B342" t="str">
            <v>BELITUNG</v>
          </cell>
          <cell r="C342" t="str">
            <v>SIJUK</v>
          </cell>
          <cell r="D342" t="str">
            <v>BATU ITAM</v>
          </cell>
        </row>
        <row r="343">
          <cell r="B343" t="str">
            <v>BELITUNG</v>
          </cell>
          <cell r="C343" t="str">
            <v>SIJUK</v>
          </cell>
          <cell r="D343" t="str">
            <v>BATU ITAM</v>
          </cell>
        </row>
        <row r="344">
          <cell r="B344" t="str">
            <v>NAMA KABUPATEN/KOTA</v>
          </cell>
          <cell r="C344" t="str">
            <v>NAMA KECAMATAN</v>
          </cell>
          <cell r="D344" t="str">
            <v>NAMA KELURAHAN</v>
          </cell>
        </row>
        <row r="349">
          <cell r="B349" t="str">
            <v>BELITUNG</v>
          </cell>
          <cell r="C349" t="str">
            <v>SIJUK</v>
          </cell>
          <cell r="D349" t="str">
            <v>TERONG</v>
          </cell>
        </row>
        <row r="350">
          <cell r="B350" t="str">
            <v>BELITUNG</v>
          </cell>
          <cell r="C350" t="str">
            <v>SIJUK</v>
          </cell>
          <cell r="D350" t="str">
            <v>TERONG</v>
          </cell>
        </row>
        <row r="351">
          <cell r="B351" t="str">
            <v>BELITUNG</v>
          </cell>
          <cell r="C351" t="str">
            <v>SIJUK</v>
          </cell>
          <cell r="D351" t="str">
            <v>AIR SERUK</v>
          </cell>
        </row>
        <row r="352">
          <cell r="B352" t="str">
            <v>BELITUNG</v>
          </cell>
          <cell r="C352" t="str">
            <v>SIJUK</v>
          </cell>
          <cell r="D352" t="str">
            <v>AIR SERUK</v>
          </cell>
        </row>
        <row r="353">
          <cell r="B353" t="str">
            <v>BELITUNG</v>
          </cell>
          <cell r="C353" t="str">
            <v>SIJUK</v>
          </cell>
          <cell r="D353" t="str">
            <v>AIR SERUK</v>
          </cell>
        </row>
        <row r="354">
          <cell r="B354" t="str">
            <v>BELITUNG</v>
          </cell>
          <cell r="C354" t="str">
            <v>SIJUK</v>
          </cell>
          <cell r="D354" t="str">
            <v>AIR SERUK</v>
          </cell>
        </row>
        <row r="355">
          <cell r="B355" t="str">
            <v>BELITUNG</v>
          </cell>
          <cell r="C355" t="str">
            <v>SIJUK</v>
          </cell>
          <cell r="D355" t="str">
            <v>AIR SERUK</v>
          </cell>
        </row>
        <row r="356">
          <cell r="B356" t="str">
            <v>BELITUNG</v>
          </cell>
          <cell r="C356" t="str">
            <v>SIJUK</v>
          </cell>
          <cell r="D356" t="str">
            <v>AIR SERUK</v>
          </cell>
        </row>
        <row r="357">
          <cell r="B357" t="str">
            <v>BELITUNG</v>
          </cell>
          <cell r="C357" t="str">
            <v>SIJUK</v>
          </cell>
          <cell r="D357" t="str">
            <v>TANJUNG BINGA</v>
          </cell>
        </row>
        <row r="358">
          <cell r="B358" t="str">
            <v>BELITUNG</v>
          </cell>
          <cell r="C358" t="str">
            <v>SIJUK</v>
          </cell>
          <cell r="D358" t="str">
            <v>TANJUNG BINGA</v>
          </cell>
        </row>
        <row r="359">
          <cell r="B359" t="str">
            <v>BELITUNG</v>
          </cell>
          <cell r="C359" t="str">
            <v>SIJUK</v>
          </cell>
          <cell r="D359" t="str">
            <v>TANJUNG BINGA</v>
          </cell>
        </row>
        <row r="360">
          <cell r="B360" t="str">
            <v>BELITUNG</v>
          </cell>
          <cell r="C360" t="str">
            <v>SIJUK</v>
          </cell>
          <cell r="D360" t="str">
            <v>TANJUNG BINGA</v>
          </cell>
        </row>
        <row r="361">
          <cell r="B361" t="str">
            <v>BELITUNG</v>
          </cell>
          <cell r="C361" t="str">
            <v>SIJUK</v>
          </cell>
          <cell r="D361" t="str">
            <v>TANJUNG BINGA</v>
          </cell>
        </row>
        <row r="362">
          <cell r="B362" t="str">
            <v>BELITUNG</v>
          </cell>
          <cell r="C362" t="str">
            <v>SIJUK</v>
          </cell>
          <cell r="D362" t="str">
            <v>TANJUNG BINGA</v>
          </cell>
        </row>
        <row r="363">
          <cell r="B363" t="str">
            <v>BELITUNG</v>
          </cell>
          <cell r="C363" t="str">
            <v>SIJUK</v>
          </cell>
          <cell r="D363" t="str">
            <v>AIR SELUMAR</v>
          </cell>
        </row>
        <row r="364">
          <cell r="B364" t="str">
            <v>BELITUNG</v>
          </cell>
          <cell r="C364" t="str">
            <v>SIJUK</v>
          </cell>
          <cell r="D364" t="str">
            <v>AIR SELUMAR</v>
          </cell>
        </row>
        <row r="365">
          <cell r="B365" t="str">
            <v>BELITUNG</v>
          </cell>
          <cell r="C365" t="str">
            <v>SIJUK</v>
          </cell>
          <cell r="D365" t="str">
            <v>AIR SELUMAR</v>
          </cell>
        </row>
        <row r="366">
          <cell r="B366" t="str">
            <v>BELITUNG</v>
          </cell>
          <cell r="C366" t="str">
            <v>SIJUK</v>
          </cell>
          <cell r="D366" t="str">
            <v>AIR SELUMAR</v>
          </cell>
        </row>
        <row r="367">
          <cell r="B367" t="str">
            <v>BELITUNG</v>
          </cell>
          <cell r="C367" t="str">
            <v>SIJUK</v>
          </cell>
          <cell r="D367" t="str">
            <v>SUNGAI PADANG</v>
          </cell>
        </row>
        <row r="368">
          <cell r="B368" t="str">
            <v>BELITUNG</v>
          </cell>
          <cell r="C368" t="str">
            <v>SIJUK</v>
          </cell>
          <cell r="D368" t="str">
            <v>SUNGAI PADANG</v>
          </cell>
        </row>
        <row r="369">
          <cell r="B369" t="str">
            <v>BELITUNG</v>
          </cell>
          <cell r="C369" t="str">
            <v>SIJUK</v>
          </cell>
          <cell r="D369" t="str">
            <v>KECIPUT</v>
          </cell>
        </row>
        <row r="370">
          <cell r="B370" t="str">
            <v>BELITUNG</v>
          </cell>
          <cell r="C370" t="str">
            <v>SIJUK</v>
          </cell>
          <cell r="D370" t="str">
            <v>KECIPUT</v>
          </cell>
        </row>
        <row r="371">
          <cell r="B371" t="str">
            <v>BELITUNG</v>
          </cell>
          <cell r="C371" t="str">
            <v>SIJUK</v>
          </cell>
          <cell r="D371" t="str">
            <v>PELEPAK PUTE</v>
          </cell>
        </row>
        <row r="372">
          <cell r="B372" t="str">
            <v>BELITUNG</v>
          </cell>
          <cell r="C372" t="str">
            <v>SIJUK</v>
          </cell>
          <cell r="D372" t="str">
            <v>PELEPAK PUTE</v>
          </cell>
        </row>
        <row r="373">
          <cell r="B373" t="str">
            <v>BELITUNG</v>
          </cell>
          <cell r="C373" t="str">
            <v>SIJUK</v>
          </cell>
          <cell r="D373" t="str">
            <v>PELEPAK PUTE</v>
          </cell>
        </row>
        <row r="374">
          <cell r="B374" t="str">
            <v>BELITUNG</v>
          </cell>
          <cell r="C374" t="str">
            <v>SIJUK</v>
          </cell>
          <cell r="D374" t="str">
            <v>TANJONG TINGGI</v>
          </cell>
        </row>
        <row r="375">
          <cell r="B375" t="str">
            <v>BELITUNG</v>
          </cell>
          <cell r="C375" t="str">
            <v>SIJUK</v>
          </cell>
          <cell r="D375" t="str">
            <v>TANJONG TINGGI</v>
          </cell>
        </row>
        <row r="376">
          <cell r="B376" t="str">
            <v>BELITUNG</v>
          </cell>
          <cell r="C376" t="str">
            <v>BADAU</v>
          </cell>
          <cell r="D376" t="str">
            <v>BADAU</v>
          </cell>
        </row>
        <row r="377">
          <cell r="B377" t="str">
            <v>BELITUNG</v>
          </cell>
          <cell r="C377" t="str">
            <v>BADAU</v>
          </cell>
          <cell r="D377" t="str">
            <v>BADAU</v>
          </cell>
        </row>
        <row r="378">
          <cell r="B378" t="str">
            <v>BELITUNG</v>
          </cell>
          <cell r="C378" t="str">
            <v>BADAU</v>
          </cell>
          <cell r="D378" t="str">
            <v>BADAU</v>
          </cell>
        </row>
        <row r="379">
          <cell r="B379" t="str">
            <v>BELITUNG</v>
          </cell>
          <cell r="C379" t="str">
            <v>BADAU</v>
          </cell>
          <cell r="D379" t="str">
            <v>AIR BATU BUDING</v>
          </cell>
        </row>
        <row r="380">
          <cell r="B380" t="str">
            <v>BELITUNG</v>
          </cell>
          <cell r="C380" t="str">
            <v>BADAU</v>
          </cell>
          <cell r="D380" t="str">
            <v>AIR BATU BUDING</v>
          </cell>
        </row>
        <row r="381">
          <cell r="B381" t="str">
            <v>BELITUNG</v>
          </cell>
          <cell r="C381" t="str">
            <v>BADAU</v>
          </cell>
          <cell r="D381" t="str">
            <v>SUNGAI SAMAK</v>
          </cell>
        </row>
        <row r="382">
          <cell r="B382" t="str">
            <v>BELITUNG</v>
          </cell>
          <cell r="C382" t="str">
            <v>BADAU</v>
          </cell>
          <cell r="D382" t="str">
            <v>SUNGAI SAMAK</v>
          </cell>
        </row>
        <row r="383">
          <cell r="B383" t="str">
            <v>BELITUNG</v>
          </cell>
          <cell r="C383" t="str">
            <v>BADAU</v>
          </cell>
          <cell r="D383" t="str">
            <v>KACANG BUTOR</v>
          </cell>
        </row>
        <row r="384">
          <cell r="B384" t="str">
            <v>BELITUNG</v>
          </cell>
          <cell r="C384" t="str">
            <v>BADAU</v>
          </cell>
          <cell r="D384" t="str">
            <v>KACANG BUTOR</v>
          </cell>
        </row>
        <row r="385">
          <cell r="B385" t="str">
            <v>BELITUNG</v>
          </cell>
          <cell r="C385" t="str">
            <v>BADAU</v>
          </cell>
          <cell r="D385" t="str">
            <v>KACANG BUTOR</v>
          </cell>
        </row>
        <row r="386">
          <cell r="B386" t="str">
            <v>BELITUNG</v>
          </cell>
          <cell r="C386" t="str">
            <v>BADAU</v>
          </cell>
          <cell r="D386" t="str">
            <v>KACANG BUTOR</v>
          </cell>
        </row>
        <row r="387">
          <cell r="B387" t="str">
            <v>BELITUNG</v>
          </cell>
          <cell r="C387" t="str">
            <v>BADAU</v>
          </cell>
          <cell r="D387" t="str">
            <v>CERUCUK</v>
          </cell>
        </row>
        <row r="388">
          <cell r="B388" t="str">
            <v>BELITUNG</v>
          </cell>
          <cell r="C388" t="str">
            <v>BADAU</v>
          </cell>
          <cell r="D388" t="str">
            <v>PEGANTUNGAN</v>
          </cell>
        </row>
        <row r="389">
          <cell r="B389" t="str">
            <v>BELITUNG</v>
          </cell>
          <cell r="C389" t="str">
            <v>BADAU</v>
          </cell>
          <cell r="D389" t="str">
            <v>PEGANTUNGAN</v>
          </cell>
        </row>
        <row r="390">
          <cell r="B390" t="str">
            <v>BELITUNG</v>
          </cell>
          <cell r="C390" t="str">
            <v>BADAU</v>
          </cell>
          <cell r="D390" t="str">
            <v>PEGANTUNGAN</v>
          </cell>
        </row>
        <row r="391">
          <cell r="B391" t="str">
            <v>BELITUNG</v>
          </cell>
          <cell r="C391" t="str">
            <v>BADAU</v>
          </cell>
          <cell r="D391" t="str">
            <v>IBUL</v>
          </cell>
        </row>
        <row r="392">
          <cell r="B392" t="str">
            <v>BELITUNG</v>
          </cell>
          <cell r="C392" t="str">
            <v>BADAU</v>
          </cell>
          <cell r="D392" t="str">
            <v>IBUL</v>
          </cell>
        </row>
        <row r="393">
          <cell r="B393" t="str">
            <v>BELITUNG</v>
          </cell>
          <cell r="C393" t="str">
            <v>BADAU</v>
          </cell>
          <cell r="D393" t="str">
            <v>IBUL</v>
          </cell>
        </row>
        <row r="394">
          <cell r="B394" t="str">
            <v>BANGKA SELATAN</v>
          </cell>
          <cell r="C394" t="str">
            <v>TOBOALI</v>
          </cell>
          <cell r="D394" t="str">
            <v>TOBOALI</v>
          </cell>
        </row>
        <row r="395">
          <cell r="B395" t="str">
            <v>BANGKA SELATAN</v>
          </cell>
          <cell r="C395" t="str">
            <v>TOBOALI</v>
          </cell>
          <cell r="D395" t="str">
            <v>TOBOALI</v>
          </cell>
        </row>
        <row r="396">
          <cell r="B396" t="str">
            <v>BANGKA SELATAN</v>
          </cell>
          <cell r="C396" t="str">
            <v>TOBOALI</v>
          </cell>
          <cell r="D396" t="str">
            <v>TOBOALI</v>
          </cell>
        </row>
        <row r="397">
          <cell r="B397" t="str">
            <v>BANGKA SELATAN</v>
          </cell>
          <cell r="C397" t="str">
            <v>TOBOALI</v>
          </cell>
          <cell r="D397" t="str">
            <v>TOBOALI</v>
          </cell>
        </row>
        <row r="398">
          <cell r="B398" t="str">
            <v>BANGKA SELATAN</v>
          </cell>
          <cell r="C398" t="str">
            <v>TOBOALI</v>
          </cell>
          <cell r="D398" t="str">
            <v>TOBOALI</v>
          </cell>
        </row>
        <row r="399">
          <cell r="B399" t="str">
            <v>BANGKA SELATAN</v>
          </cell>
          <cell r="C399" t="str">
            <v>TOBOALI</v>
          </cell>
          <cell r="D399" t="str">
            <v>TELADAN</v>
          </cell>
        </row>
        <row r="400">
          <cell r="B400" t="str">
            <v>BANGKA SELATAN</v>
          </cell>
          <cell r="C400" t="str">
            <v>TOBOALI</v>
          </cell>
          <cell r="D400" t="str">
            <v>TELADAN</v>
          </cell>
        </row>
        <row r="401">
          <cell r="B401" t="str">
            <v>BANGKA SELATAN</v>
          </cell>
          <cell r="C401" t="str">
            <v>TOBOALI</v>
          </cell>
          <cell r="D401" t="str">
            <v>TELADAN</v>
          </cell>
        </row>
        <row r="402">
          <cell r="B402" t="str">
            <v>BANGKA SELATAN</v>
          </cell>
          <cell r="C402" t="str">
            <v>TOBOALI</v>
          </cell>
          <cell r="D402" t="str">
            <v>TELADAN</v>
          </cell>
        </row>
        <row r="403">
          <cell r="B403" t="str">
            <v>BANGKA SELATAN</v>
          </cell>
          <cell r="C403" t="str">
            <v>TOBOALI</v>
          </cell>
          <cell r="D403" t="str">
            <v>TELADAN</v>
          </cell>
        </row>
        <row r="404">
          <cell r="B404" t="str">
            <v>BANGKA SELATAN</v>
          </cell>
          <cell r="C404" t="str">
            <v>TOBOALI</v>
          </cell>
          <cell r="D404" t="str">
            <v>TANJUNGKETAPANG</v>
          </cell>
        </row>
        <row r="405">
          <cell r="B405" t="str">
            <v>BANGKA SELATAN</v>
          </cell>
          <cell r="C405" t="str">
            <v>TOBOALI</v>
          </cell>
          <cell r="D405" t="str">
            <v>TANJUNGKETAPANG</v>
          </cell>
        </row>
        <row r="406">
          <cell r="B406" t="str">
            <v>BANGKA SELATAN</v>
          </cell>
          <cell r="C406" t="str">
            <v>TOBOALI</v>
          </cell>
          <cell r="D406" t="str">
            <v>TANJUNGKETAPANG</v>
          </cell>
        </row>
        <row r="407">
          <cell r="B407" t="str">
            <v>BANGKA SELATAN</v>
          </cell>
          <cell r="C407" t="str">
            <v>TOBOALI</v>
          </cell>
          <cell r="D407" t="str">
            <v>TANJUNGKETAPANG</v>
          </cell>
        </row>
        <row r="408">
          <cell r="B408" t="str">
            <v>BANGKA SELATAN</v>
          </cell>
          <cell r="C408" t="str">
            <v>TOBOALI</v>
          </cell>
          <cell r="D408" t="str">
            <v>TANJUNGKETAPANG</v>
          </cell>
        </row>
        <row r="409">
          <cell r="B409" t="str">
            <v>BANGKA SELATAN</v>
          </cell>
          <cell r="C409" t="str">
            <v>TOBOALI</v>
          </cell>
          <cell r="D409" t="str">
            <v>SERDANG</v>
          </cell>
        </row>
        <row r="410">
          <cell r="B410" t="str">
            <v>BANGKA SELATAN</v>
          </cell>
          <cell r="C410" t="str">
            <v>TOBOALI</v>
          </cell>
          <cell r="D410" t="str">
            <v>SERDANG</v>
          </cell>
        </row>
        <row r="411">
          <cell r="B411" t="str">
            <v>BANGKA SELATAN</v>
          </cell>
          <cell r="C411" t="str">
            <v>TOBOALI</v>
          </cell>
          <cell r="D411" t="str">
            <v>SERDANG</v>
          </cell>
        </row>
        <row r="412">
          <cell r="B412" t="str">
            <v>BANGKA SELATAN</v>
          </cell>
          <cell r="C412" t="str">
            <v>TOBOALI</v>
          </cell>
          <cell r="D412" t="str">
            <v>JERIJI</v>
          </cell>
        </row>
        <row r="413">
          <cell r="B413" t="str">
            <v>NAMA KABUPATEN/KOTA</v>
          </cell>
          <cell r="C413" t="str">
            <v>NAMA KECAMATAN</v>
          </cell>
          <cell r="D413" t="str">
            <v>NAMA KELURAHAN</v>
          </cell>
        </row>
        <row r="418">
          <cell r="B418" t="str">
            <v>BANGKA SELATAN</v>
          </cell>
          <cell r="C418" t="str">
            <v>TOBOALI</v>
          </cell>
          <cell r="D418" t="str">
            <v>JERIJI</v>
          </cell>
        </row>
        <row r="419">
          <cell r="B419" t="str">
            <v>BANGKA SELATAN</v>
          </cell>
          <cell r="C419" t="str">
            <v>TOBOALI</v>
          </cell>
          <cell r="D419" t="str">
            <v>JERIJI</v>
          </cell>
        </row>
        <row r="420">
          <cell r="B420" t="str">
            <v>BANGKA SELATAN</v>
          </cell>
          <cell r="C420" t="str">
            <v>TOBOALI</v>
          </cell>
          <cell r="D420" t="str">
            <v>BIKANG</v>
          </cell>
        </row>
        <row r="421">
          <cell r="B421" t="str">
            <v>BANGKA SELATAN</v>
          </cell>
          <cell r="C421" t="str">
            <v>TOBOALI</v>
          </cell>
          <cell r="D421" t="str">
            <v>BIKANG</v>
          </cell>
        </row>
        <row r="422">
          <cell r="B422" t="str">
            <v>BANGKA SELATAN</v>
          </cell>
          <cell r="C422" t="str">
            <v>TOBOALI</v>
          </cell>
          <cell r="D422" t="str">
            <v>GADUNG</v>
          </cell>
        </row>
        <row r="423">
          <cell r="B423" t="str">
            <v>BANGKA SELATAN</v>
          </cell>
          <cell r="C423" t="str">
            <v>TOBOALI</v>
          </cell>
          <cell r="D423" t="str">
            <v>GADUNG</v>
          </cell>
        </row>
        <row r="424">
          <cell r="B424" t="str">
            <v>BANGKA SELATAN</v>
          </cell>
          <cell r="C424" t="str">
            <v>TOBOALI</v>
          </cell>
          <cell r="D424" t="str">
            <v>GADUNG</v>
          </cell>
        </row>
        <row r="425">
          <cell r="B425" t="str">
            <v>BANGKA SELATAN</v>
          </cell>
          <cell r="C425" t="str">
            <v>TOBOALI</v>
          </cell>
          <cell r="D425" t="str">
            <v>GADUNG</v>
          </cell>
        </row>
        <row r="426">
          <cell r="B426" t="str">
            <v>BANGKA SELATAN</v>
          </cell>
          <cell r="C426" t="str">
            <v>TOBOALI</v>
          </cell>
          <cell r="D426" t="str">
            <v>RIAS</v>
          </cell>
        </row>
        <row r="427">
          <cell r="B427" t="str">
            <v>BANGKA SELATAN</v>
          </cell>
          <cell r="C427" t="str">
            <v>TOBOALI</v>
          </cell>
          <cell r="D427" t="str">
            <v>RIAS</v>
          </cell>
        </row>
        <row r="428">
          <cell r="B428" t="str">
            <v>BANGKA SELATAN</v>
          </cell>
          <cell r="C428" t="str">
            <v>TOBOALI</v>
          </cell>
          <cell r="D428" t="str">
            <v>RIAS</v>
          </cell>
        </row>
        <row r="429">
          <cell r="B429" t="str">
            <v>BANGKA SELATAN</v>
          </cell>
          <cell r="C429" t="str">
            <v>TOBOALI</v>
          </cell>
          <cell r="D429" t="str">
            <v>RIAS</v>
          </cell>
        </row>
        <row r="430">
          <cell r="B430" t="str">
            <v>BANGKA SELATAN</v>
          </cell>
          <cell r="C430" t="str">
            <v>TOBOALI</v>
          </cell>
          <cell r="D430" t="str">
            <v>RIAS</v>
          </cell>
        </row>
        <row r="431">
          <cell r="B431" t="str">
            <v>BANGKA SELATAN</v>
          </cell>
          <cell r="C431" t="str">
            <v>TOBOALI</v>
          </cell>
          <cell r="D431" t="str">
            <v>KEPOH</v>
          </cell>
        </row>
        <row r="432">
          <cell r="B432" t="str">
            <v>BANGKA SELATAN</v>
          </cell>
          <cell r="C432" t="str">
            <v>TOBOALI</v>
          </cell>
          <cell r="D432" t="str">
            <v>KEPOH</v>
          </cell>
        </row>
        <row r="433">
          <cell r="B433" t="str">
            <v>BANGKA SELATAN</v>
          </cell>
          <cell r="C433" t="str">
            <v>TOBOALI</v>
          </cell>
          <cell r="D433" t="str">
            <v>KEPOSANG</v>
          </cell>
        </row>
        <row r="434">
          <cell r="B434" t="str">
            <v>BANGKA SELATAN</v>
          </cell>
          <cell r="C434" t="str">
            <v>TOBOALI</v>
          </cell>
          <cell r="D434" t="str">
            <v>KEPOSANG</v>
          </cell>
        </row>
        <row r="435">
          <cell r="B435" t="str">
            <v>BANGKA SELATAN</v>
          </cell>
          <cell r="C435" t="str">
            <v>TOBOALI</v>
          </cell>
          <cell r="D435" t="str">
            <v>KEPOSANG</v>
          </cell>
        </row>
        <row r="436">
          <cell r="B436" t="str">
            <v>BANGKA SELATAN</v>
          </cell>
          <cell r="C436" t="str">
            <v>TOBOALI</v>
          </cell>
          <cell r="D436" t="str">
            <v>RINDIK</v>
          </cell>
        </row>
        <row r="437">
          <cell r="B437" t="str">
            <v>BANGKA SELATAN</v>
          </cell>
          <cell r="C437" t="str">
            <v>TOBOALI</v>
          </cell>
          <cell r="D437" t="str">
            <v>RINDIK</v>
          </cell>
        </row>
        <row r="438">
          <cell r="B438" t="str">
            <v>BANGKA SELATAN</v>
          </cell>
          <cell r="C438" t="str">
            <v>LEPAR</v>
          </cell>
          <cell r="D438" t="str">
            <v>TANJUNGLABU</v>
          </cell>
        </row>
        <row r="439">
          <cell r="B439" t="str">
            <v>BANGKA SELATAN</v>
          </cell>
          <cell r="C439" t="str">
            <v>LEPAR</v>
          </cell>
          <cell r="D439" t="str">
            <v>TANJUNGLABU</v>
          </cell>
        </row>
        <row r="440">
          <cell r="B440" t="str">
            <v>BANGKA SELATAN</v>
          </cell>
          <cell r="C440" t="str">
            <v>LEPAR</v>
          </cell>
          <cell r="D440" t="str">
            <v>TANJUNGLABU</v>
          </cell>
        </row>
        <row r="441">
          <cell r="B441" t="str">
            <v>BANGKA SELATAN</v>
          </cell>
          <cell r="C441" t="str">
            <v>LEPAR</v>
          </cell>
          <cell r="D441" t="str">
            <v>TANJUNGSANGKAR</v>
          </cell>
        </row>
        <row r="442">
          <cell r="B442" t="str">
            <v>BANGKA SELATAN</v>
          </cell>
          <cell r="C442" t="str">
            <v>LEPAR</v>
          </cell>
          <cell r="D442" t="str">
            <v>TANJUNGSANGKAR</v>
          </cell>
        </row>
        <row r="443">
          <cell r="B443" t="str">
            <v>BANGKA SELATAN</v>
          </cell>
          <cell r="C443" t="str">
            <v>LEPAR</v>
          </cell>
          <cell r="D443" t="str">
            <v>TANJUNGSANGKAR</v>
          </cell>
        </row>
        <row r="444">
          <cell r="B444" t="str">
            <v>BANGKA SELATAN</v>
          </cell>
          <cell r="C444" t="str">
            <v>LEPAR</v>
          </cell>
          <cell r="D444" t="str">
            <v>KUMBUNG</v>
          </cell>
        </row>
        <row r="445">
          <cell r="B445" t="str">
            <v>BANGKA SELATAN</v>
          </cell>
          <cell r="C445" t="str">
            <v>LEPAR</v>
          </cell>
          <cell r="D445" t="str">
            <v>KUMBUNG</v>
          </cell>
        </row>
        <row r="446">
          <cell r="B446" t="str">
            <v>BANGKA SELATAN</v>
          </cell>
          <cell r="C446" t="str">
            <v>LEPAR</v>
          </cell>
          <cell r="D446" t="str">
            <v>PENUTUK</v>
          </cell>
        </row>
        <row r="447">
          <cell r="B447" t="str">
            <v>BANGKA SELATAN</v>
          </cell>
          <cell r="C447" t="str">
            <v>LEPAR</v>
          </cell>
          <cell r="D447" t="str">
            <v>PENUTUK</v>
          </cell>
        </row>
        <row r="448">
          <cell r="B448" t="str">
            <v>BANGKA SELATAN</v>
          </cell>
          <cell r="C448" t="str">
            <v>LEPAR</v>
          </cell>
          <cell r="D448" t="str">
            <v>PENUTUK</v>
          </cell>
        </row>
        <row r="449">
          <cell r="B449" t="str">
            <v>BANGKA SELATAN</v>
          </cell>
          <cell r="C449" t="str">
            <v>AIRGEGAS</v>
          </cell>
          <cell r="D449" t="str">
            <v>AIRGEGAS</v>
          </cell>
        </row>
        <row r="450">
          <cell r="B450" t="str">
            <v>BANGKA SELATAN</v>
          </cell>
          <cell r="C450" t="str">
            <v>AIRGEGAS</v>
          </cell>
          <cell r="D450" t="str">
            <v>AIRGEGAS</v>
          </cell>
        </row>
        <row r="451">
          <cell r="B451" t="str">
            <v>BANGKA SELATAN</v>
          </cell>
          <cell r="C451" t="str">
            <v>AIRGEGAS</v>
          </cell>
          <cell r="D451" t="str">
            <v>AIRGEGAS</v>
          </cell>
        </row>
        <row r="452">
          <cell r="B452" t="str">
            <v>BANGKA SELATAN</v>
          </cell>
          <cell r="C452" t="str">
            <v>AIRGEGAS</v>
          </cell>
          <cell r="D452" t="str">
            <v>DELAS</v>
          </cell>
        </row>
        <row r="453">
          <cell r="B453" t="str">
            <v>BANGKA SELATAN</v>
          </cell>
          <cell r="C453" t="str">
            <v>AIRGEGAS</v>
          </cell>
          <cell r="D453" t="str">
            <v>PERGAM</v>
          </cell>
        </row>
        <row r="454">
          <cell r="B454" t="str">
            <v>BANGKA SELATAN</v>
          </cell>
          <cell r="C454" t="str">
            <v>AIRGEGAS</v>
          </cell>
          <cell r="D454" t="str">
            <v>BENCAH</v>
          </cell>
        </row>
        <row r="455">
          <cell r="B455" t="str">
            <v>BANGKA SELATAN</v>
          </cell>
          <cell r="C455" t="str">
            <v>AIRGEGAS</v>
          </cell>
          <cell r="D455" t="str">
            <v>BENCAH</v>
          </cell>
        </row>
        <row r="456">
          <cell r="B456" t="str">
            <v>BANGKA SELATAN</v>
          </cell>
          <cell r="C456" t="str">
            <v>AIRGEGAS</v>
          </cell>
          <cell r="D456" t="str">
            <v>NYELANDING</v>
          </cell>
        </row>
        <row r="457">
          <cell r="B457" t="str">
            <v>BANGKA SELATAN</v>
          </cell>
          <cell r="C457" t="str">
            <v>AIRGEGAS</v>
          </cell>
          <cell r="D457" t="str">
            <v>NYELANDING</v>
          </cell>
        </row>
        <row r="458">
          <cell r="B458" t="str">
            <v>BANGKA SELATAN</v>
          </cell>
          <cell r="C458" t="str">
            <v>AIRGEGAS</v>
          </cell>
          <cell r="D458" t="str">
            <v>NYELANDING</v>
          </cell>
        </row>
        <row r="459">
          <cell r="B459" t="str">
            <v>BANGKA SELATAN</v>
          </cell>
          <cell r="C459" t="str">
            <v>AIRGEGAS</v>
          </cell>
          <cell r="D459" t="str">
            <v>NANGKA</v>
          </cell>
        </row>
        <row r="460">
          <cell r="B460" t="str">
            <v>BANGKA SELATAN</v>
          </cell>
          <cell r="C460" t="str">
            <v>AIRGEGAS</v>
          </cell>
          <cell r="D460" t="str">
            <v>NANGKA</v>
          </cell>
        </row>
        <row r="461">
          <cell r="B461" t="str">
            <v>BANGKA SELATAN</v>
          </cell>
          <cell r="C461" t="str">
            <v>AIRGEGAS</v>
          </cell>
          <cell r="D461" t="str">
            <v>RANGGAS</v>
          </cell>
        </row>
        <row r="462">
          <cell r="B462" t="str">
            <v>BANGKA SELATAN</v>
          </cell>
          <cell r="C462" t="str">
            <v>AIRGEGAS</v>
          </cell>
          <cell r="D462" t="str">
            <v>RANGGAS</v>
          </cell>
        </row>
        <row r="463">
          <cell r="B463" t="str">
            <v>BANGKA SELATAN</v>
          </cell>
          <cell r="C463" t="str">
            <v>AIRGEGAS</v>
          </cell>
          <cell r="D463" t="str">
            <v>AIRBARA</v>
          </cell>
        </row>
        <row r="464">
          <cell r="B464" t="str">
            <v>BANGKA SELATAN</v>
          </cell>
          <cell r="C464" t="str">
            <v>AIRGEGAS</v>
          </cell>
          <cell r="D464" t="str">
            <v>AIRBARA</v>
          </cell>
        </row>
        <row r="465">
          <cell r="B465" t="str">
            <v>BANGKA SELATAN</v>
          </cell>
          <cell r="C465" t="str">
            <v>AIRGEGAS</v>
          </cell>
          <cell r="D465" t="str">
            <v>AIRBARA</v>
          </cell>
        </row>
        <row r="466">
          <cell r="B466" t="str">
            <v>BANGKA SELATAN</v>
          </cell>
          <cell r="C466" t="str">
            <v>AIRGEGAS</v>
          </cell>
          <cell r="D466" t="str">
            <v>SIDOHARJO</v>
          </cell>
        </row>
        <row r="467">
          <cell r="B467" t="str">
            <v>BANGKA SELATAN</v>
          </cell>
          <cell r="C467" t="str">
            <v>AIRGEGAS</v>
          </cell>
          <cell r="D467" t="str">
            <v>SIDOHARJO</v>
          </cell>
        </row>
        <row r="468">
          <cell r="B468" t="str">
            <v>BANGKA SELATAN</v>
          </cell>
          <cell r="C468" t="str">
            <v>AIRGEGAS</v>
          </cell>
          <cell r="D468" t="str">
            <v>TEPUS</v>
          </cell>
        </row>
        <row r="469">
          <cell r="B469" t="str">
            <v>BANGKA SELATAN</v>
          </cell>
          <cell r="C469" t="str">
            <v>AIRGEGAS</v>
          </cell>
          <cell r="D469" t="str">
            <v>TEPUS</v>
          </cell>
        </row>
        <row r="470">
          <cell r="B470" t="str">
            <v>BANGKA SELATAN</v>
          </cell>
          <cell r="C470" t="str">
            <v>AIRGEGAS</v>
          </cell>
          <cell r="D470" t="str">
            <v>TEPUS</v>
          </cell>
        </row>
        <row r="471">
          <cell r="B471" t="str">
            <v>BANGKA SELATAN</v>
          </cell>
          <cell r="C471" t="str">
            <v>SIMPANG RIMBA</v>
          </cell>
          <cell r="D471" t="str">
            <v>JELUTUNG II</v>
          </cell>
        </row>
        <row r="472">
          <cell r="B472" t="str">
            <v>BANGKA SELATAN</v>
          </cell>
          <cell r="C472" t="str">
            <v>SIMPANG RIMBA</v>
          </cell>
          <cell r="D472" t="str">
            <v>JELUTUNG II</v>
          </cell>
        </row>
        <row r="473">
          <cell r="B473" t="str">
            <v>BANGKA SELATAN</v>
          </cell>
          <cell r="C473" t="str">
            <v>SIMPANG RIMBA</v>
          </cell>
          <cell r="D473" t="str">
            <v>JELUTUNG II</v>
          </cell>
        </row>
        <row r="474">
          <cell r="B474" t="str">
            <v>BANGKA SELATAN</v>
          </cell>
          <cell r="C474" t="str">
            <v>SIMPANG RIMBA</v>
          </cell>
          <cell r="D474" t="str">
            <v>GUDANG</v>
          </cell>
        </row>
        <row r="475">
          <cell r="B475" t="str">
            <v>BANGKA SELATAN</v>
          </cell>
          <cell r="C475" t="str">
            <v>SIMPANG RIMBA</v>
          </cell>
          <cell r="D475" t="str">
            <v>GUDANG</v>
          </cell>
        </row>
        <row r="476">
          <cell r="B476" t="str">
            <v>BANGKA SELATAN</v>
          </cell>
          <cell r="C476" t="str">
            <v>SIMPANG RIMBA</v>
          </cell>
          <cell r="D476" t="str">
            <v>BANGKA KOTA</v>
          </cell>
        </row>
        <row r="477">
          <cell r="B477" t="str">
            <v>BANGKA SELATAN</v>
          </cell>
          <cell r="C477" t="str">
            <v>SIMPANG RIMBA</v>
          </cell>
          <cell r="D477" t="str">
            <v>BANGKA KOTA</v>
          </cell>
        </row>
        <row r="478">
          <cell r="B478" t="str">
            <v>BANGKA SELATAN</v>
          </cell>
          <cell r="C478" t="str">
            <v>SIMPANG RIMBA</v>
          </cell>
          <cell r="D478" t="str">
            <v>BANGKA KOTA</v>
          </cell>
        </row>
        <row r="479">
          <cell r="B479" t="str">
            <v>BANGKA SELATAN</v>
          </cell>
          <cell r="C479" t="str">
            <v>SIMPANG RIMBA</v>
          </cell>
          <cell r="D479" t="str">
            <v>RAJIK</v>
          </cell>
        </row>
        <row r="480">
          <cell r="B480" t="str">
            <v>BANGKA SELATAN</v>
          </cell>
          <cell r="C480" t="str">
            <v>SIMPANG RIMBA</v>
          </cell>
          <cell r="D480" t="str">
            <v>RAJIK</v>
          </cell>
        </row>
        <row r="481">
          <cell r="B481" t="str">
            <v>BANGKA SELATAN</v>
          </cell>
          <cell r="C481" t="str">
            <v>SIMPANG RIMBA</v>
          </cell>
          <cell r="D481" t="str">
            <v>RAJIK</v>
          </cell>
        </row>
        <row r="482">
          <cell r="B482" t="str">
            <v>NAMA KABUPATEN/KOTA</v>
          </cell>
          <cell r="C482" t="str">
            <v>NAMA KECAMATAN</v>
          </cell>
          <cell r="D482" t="str">
            <v>NAMA KELURAHAN</v>
          </cell>
        </row>
        <row r="487">
          <cell r="B487" t="str">
            <v>BANGKA SELATAN</v>
          </cell>
          <cell r="C487" t="str">
            <v>SIMPANG RIMBA</v>
          </cell>
          <cell r="D487" t="str">
            <v>SEBAGIN</v>
          </cell>
        </row>
        <row r="488">
          <cell r="B488" t="str">
            <v>BANGKA SELATAN</v>
          </cell>
          <cell r="C488" t="str">
            <v>SIMPANG RIMBA</v>
          </cell>
          <cell r="D488" t="str">
            <v>SEBAGIN</v>
          </cell>
        </row>
        <row r="489">
          <cell r="B489" t="str">
            <v>BANGKA SELATAN</v>
          </cell>
          <cell r="C489" t="str">
            <v>SIMPANG RIMBA</v>
          </cell>
          <cell r="D489" t="str">
            <v>SIMPANG RIMBA</v>
          </cell>
        </row>
        <row r="490">
          <cell r="B490" t="str">
            <v>BANGKA SELATAN</v>
          </cell>
          <cell r="C490" t="str">
            <v>SIMPANG RIMBA</v>
          </cell>
          <cell r="D490" t="str">
            <v>SIMPANG RIMBA</v>
          </cell>
        </row>
        <row r="491">
          <cell r="B491" t="str">
            <v>BANGKA SELATAN</v>
          </cell>
          <cell r="C491" t="str">
            <v>SIMPANG RIMBA</v>
          </cell>
          <cell r="D491" t="str">
            <v>PERMIS</v>
          </cell>
        </row>
        <row r="492">
          <cell r="B492" t="str">
            <v>BANGKA SELATAN</v>
          </cell>
          <cell r="C492" t="str">
            <v>SIMPANG RIMBA</v>
          </cell>
          <cell r="D492" t="str">
            <v>PERMIS</v>
          </cell>
        </row>
        <row r="493">
          <cell r="B493" t="str">
            <v>BANGKA SELATAN</v>
          </cell>
          <cell r="C493" t="str">
            <v>SIMPANG RIMBA</v>
          </cell>
          <cell r="D493" t="str">
            <v>PERMIS</v>
          </cell>
        </row>
        <row r="494">
          <cell r="B494" t="str">
            <v>BANGKA SELATAN</v>
          </cell>
          <cell r="C494" t="str">
            <v>PAYUNG</v>
          </cell>
          <cell r="D494" t="str">
            <v>PAYUNG</v>
          </cell>
        </row>
        <row r="495">
          <cell r="B495" t="str">
            <v>BANGKA SELATAN</v>
          </cell>
          <cell r="C495" t="str">
            <v>PAYUNG</v>
          </cell>
          <cell r="D495" t="str">
            <v>PAYUNG</v>
          </cell>
        </row>
        <row r="496">
          <cell r="B496" t="str">
            <v>BANGKA SELATAN</v>
          </cell>
          <cell r="C496" t="str">
            <v>PAYUNG</v>
          </cell>
          <cell r="D496" t="str">
            <v>PAYUNG</v>
          </cell>
        </row>
        <row r="497">
          <cell r="B497" t="str">
            <v>BANGKA SELATAN</v>
          </cell>
          <cell r="C497" t="str">
            <v>PAYUNG</v>
          </cell>
          <cell r="D497" t="str">
            <v>MALIK</v>
          </cell>
        </row>
        <row r="498">
          <cell r="B498" t="str">
            <v>BANGKA SELATAN</v>
          </cell>
          <cell r="C498" t="str">
            <v>PAYUNG</v>
          </cell>
          <cell r="D498" t="str">
            <v>SENGIR</v>
          </cell>
        </row>
        <row r="499">
          <cell r="B499" t="str">
            <v>BANGKA SELATAN</v>
          </cell>
          <cell r="C499" t="str">
            <v>PAYUNG</v>
          </cell>
          <cell r="D499" t="str">
            <v>SENGIR</v>
          </cell>
        </row>
        <row r="500">
          <cell r="B500" t="str">
            <v>BANGKA SELATAN</v>
          </cell>
          <cell r="C500" t="str">
            <v>PAYUNG</v>
          </cell>
          <cell r="D500" t="str">
            <v>PANGKAL BULUH</v>
          </cell>
        </row>
        <row r="501">
          <cell r="B501" t="str">
            <v>BANGKA SELATAN</v>
          </cell>
          <cell r="C501" t="str">
            <v>PAYUNG</v>
          </cell>
          <cell r="D501" t="str">
            <v>PANGKAL BULUH</v>
          </cell>
        </row>
        <row r="502">
          <cell r="B502" t="str">
            <v>BANGKA SELATAN</v>
          </cell>
          <cell r="C502" t="str">
            <v>PAYUNG</v>
          </cell>
          <cell r="D502" t="str">
            <v>IRAT</v>
          </cell>
        </row>
        <row r="503">
          <cell r="B503" t="str">
            <v>BANGKA SELATAN</v>
          </cell>
          <cell r="C503" t="str">
            <v>PAYUNG</v>
          </cell>
          <cell r="D503" t="str">
            <v>BEDENGUNG</v>
          </cell>
        </row>
        <row r="504">
          <cell r="B504" t="str">
            <v>BANGKA SELATAN</v>
          </cell>
          <cell r="C504" t="str">
            <v>PAYUNG</v>
          </cell>
          <cell r="D504" t="str">
            <v>NADUNG</v>
          </cell>
        </row>
        <row r="505">
          <cell r="B505" t="str">
            <v>BANGKA SELATAN</v>
          </cell>
          <cell r="C505" t="str">
            <v>PAYUNG</v>
          </cell>
          <cell r="D505" t="str">
            <v>NADUNG</v>
          </cell>
        </row>
        <row r="506">
          <cell r="B506" t="str">
            <v>BANGKA SELATAN</v>
          </cell>
          <cell r="C506" t="str">
            <v>PAYUNG</v>
          </cell>
          <cell r="D506" t="str">
            <v>RANGGUNG</v>
          </cell>
        </row>
        <row r="507">
          <cell r="B507" t="str">
            <v>BANGKA SELATAN</v>
          </cell>
          <cell r="C507" t="str">
            <v>PAYUNG</v>
          </cell>
          <cell r="D507" t="str">
            <v>RANGGUNG</v>
          </cell>
        </row>
        <row r="508">
          <cell r="B508" t="str">
            <v>BANGKA SELATAN</v>
          </cell>
          <cell r="C508" t="str">
            <v>PAYUNG</v>
          </cell>
          <cell r="D508" t="str">
            <v>RANGGUNG</v>
          </cell>
        </row>
        <row r="509">
          <cell r="B509" t="str">
            <v>BANGKA SELATAN</v>
          </cell>
          <cell r="C509" t="str">
            <v>PAYUNG</v>
          </cell>
          <cell r="D509" t="str">
            <v>PAKU</v>
          </cell>
        </row>
        <row r="510">
          <cell r="B510" t="str">
            <v>BANGKA SELATAN</v>
          </cell>
          <cell r="C510" t="str">
            <v>PAYUNG</v>
          </cell>
          <cell r="D510" t="str">
            <v>PAKU</v>
          </cell>
        </row>
        <row r="511">
          <cell r="B511" t="str">
            <v>BANGKA SELATAN</v>
          </cell>
          <cell r="C511" t="str">
            <v>PAYUNG</v>
          </cell>
          <cell r="D511" t="str">
            <v>PAKU</v>
          </cell>
        </row>
        <row r="512">
          <cell r="B512" t="str">
            <v>BANGKA SELATAN</v>
          </cell>
          <cell r="C512" t="str">
            <v>TUKAK SADAI</v>
          </cell>
          <cell r="D512" t="str">
            <v>SADAI</v>
          </cell>
        </row>
        <row r="513">
          <cell r="B513" t="str">
            <v>BANGKA SELATAN</v>
          </cell>
          <cell r="C513" t="str">
            <v>TUKAK SADAI</v>
          </cell>
          <cell r="D513" t="str">
            <v>SADAI</v>
          </cell>
        </row>
        <row r="514">
          <cell r="B514" t="str">
            <v>BANGKA SELATAN</v>
          </cell>
          <cell r="C514" t="str">
            <v>TUKAK SADAI</v>
          </cell>
          <cell r="D514" t="str">
            <v>SADAI</v>
          </cell>
        </row>
        <row r="515">
          <cell r="B515" t="str">
            <v>BANGKA SELATAN</v>
          </cell>
          <cell r="C515" t="str">
            <v>TUKAK SADAI</v>
          </cell>
          <cell r="D515" t="str">
            <v>TUKAK</v>
          </cell>
        </row>
        <row r="516">
          <cell r="B516" t="str">
            <v>BANGKA SELATAN</v>
          </cell>
          <cell r="C516" t="str">
            <v>TUKAK SADAI</v>
          </cell>
          <cell r="D516" t="str">
            <v>TUKAK</v>
          </cell>
        </row>
        <row r="517">
          <cell r="B517" t="str">
            <v>BANGKA SELATAN</v>
          </cell>
          <cell r="C517" t="str">
            <v>TUKAK SADAI</v>
          </cell>
          <cell r="D517" t="str">
            <v>PASIR PUTIH</v>
          </cell>
        </row>
        <row r="518">
          <cell r="B518" t="str">
            <v>BANGKA SELATAN</v>
          </cell>
          <cell r="C518" t="str">
            <v>TUKAK SADAI</v>
          </cell>
          <cell r="D518" t="str">
            <v>PASIR PUTIH</v>
          </cell>
        </row>
        <row r="519">
          <cell r="B519" t="str">
            <v>BANGKA SELATAN</v>
          </cell>
          <cell r="C519" t="str">
            <v>TUKAK SADAI</v>
          </cell>
          <cell r="D519" t="str">
            <v>PASIR PUTIH</v>
          </cell>
        </row>
        <row r="520">
          <cell r="B520" t="str">
            <v>BANGKA SELATAN</v>
          </cell>
          <cell r="C520" t="str">
            <v>TUKAK SADAI</v>
          </cell>
          <cell r="D520" t="str">
            <v>TIRAM</v>
          </cell>
        </row>
        <row r="521">
          <cell r="B521" t="str">
            <v>BANGKA SELATAN</v>
          </cell>
          <cell r="C521" t="str">
            <v>TUKAK SADAI</v>
          </cell>
          <cell r="D521" t="str">
            <v>TIRAM</v>
          </cell>
        </row>
        <row r="522">
          <cell r="B522" t="str">
            <v>BANGKA SELATAN</v>
          </cell>
          <cell r="C522" t="str">
            <v>TUKAK SADAI</v>
          </cell>
          <cell r="D522" t="str">
            <v>BUKIT TERAP</v>
          </cell>
        </row>
        <row r="523">
          <cell r="B523" t="str">
            <v>BANGKA SELATAN</v>
          </cell>
          <cell r="C523" t="str">
            <v>TUKAK SADAI</v>
          </cell>
          <cell r="D523" t="str">
            <v>BUKIT TERAP</v>
          </cell>
        </row>
        <row r="524">
          <cell r="B524" t="str">
            <v>BANGKA SELATAN</v>
          </cell>
          <cell r="C524" t="str">
            <v>PULAUBESAR</v>
          </cell>
          <cell r="D524" t="str">
            <v>BATU BETUMPANG</v>
          </cell>
        </row>
        <row r="525">
          <cell r="B525" t="str">
            <v>BANGKA SELATAN</v>
          </cell>
          <cell r="C525" t="str">
            <v>PULAUBESAR</v>
          </cell>
          <cell r="D525" t="str">
            <v>BATU BETUMPANG</v>
          </cell>
        </row>
        <row r="526">
          <cell r="B526" t="str">
            <v>BANGKA SELATAN</v>
          </cell>
          <cell r="C526" t="str">
            <v>PULAUBESAR</v>
          </cell>
          <cell r="D526" t="str">
            <v>BATU BETUMPANG</v>
          </cell>
        </row>
        <row r="527">
          <cell r="B527" t="str">
            <v>BANGKA SELATAN</v>
          </cell>
          <cell r="C527" t="str">
            <v>PULAUBESAR</v>
          </cell>
          <cell r="D527" t="str">
            <v>SUKAJAYA</v>
          </cell>
        </row>
        <row r="528">
          <cell r="B528" t="str">
            <v>BANGKA SELATAN</v>
          </cell>
          <cell r="C528" t="str">
            <v>PULAUBESAR</v>
          </cell>
          <cell r="D528" t="str">
            <v>SUKAJAYA</v>
          </cell>
        </row>
        <row r="529">
          <cell r="B529" t="str">
            <v>BANGKA SELATAN</v>
          </cell>
          <cell r="C529" t="str">
            <v>PULAUBESAR</v>
          </cell>
          <cell r="D529" t="str">
            <v>PANCA TUNGGAL</v>
          </cell>
        </row>
        <row r="530">
          <cell r="B530" t="str">
            <v>BANGKA SELATAN</v>
          </cell>
          <cell r="C530" t="str">
            <v>PULAUBESAR</v>
          </cell>
          <cell r="D530" t="str">
            <v>PANCA TUNGGAL</v>
          </cell>
        </row>
        <row r="531">
          <cell r="B531" t="str">
            <v>BANGKA SELATAN</v>
          </cell>
          <cell r="C531" t="str">
            <v>PULAUBESAR</v>
          </cell>
          <cell r="D531" t="str">
            <v>SUMBER JAYA PERMAI</v>
          </cell>
        </row>
        <row r="532">
          <cell r="B532" t="str">
            <v>BANGKA SELATAN</v>
          </cell>
          <cell r="C532" t="str">
            <v>PULAUBESAR</v>
          </cell>
          <cell r="D532" t="str">
            <v>SUMBER JAYA PERMAI</v>
          </cell>
        </row>
        <row r="533">
          <cell r="B533" t="str">
            <v>BANGKA SELATAN</v>
          </cell>
          <cell r="C533" t="str">
            <v>PULAUBESAR</v>
          </cell>
          <cell r="D533" t="str">
            <v>FAJAR INDAH</v>
          </cell>
        </row>
        <row r="534">
          <cell r="B534" t="str">
            <v>BANGKA SELATAN</v>
          </cell>
          <cell r="C534" t="str">
            <v>PULAUBESAR</v>
          </cell>
          <cell r="D534" t="str">
            <v>FAJAR INDAH</v>
          </cell>
        </row>
        <row r="535">
          <cell r="B535" t="str">
            <v>BANGKA SELATAN</v>
          </cell>
          <cell r="C535" t="str">
            <v>KEPULAUAN PONGOK</v>
          </cell>
          <cell r="D535" t="str">
            <v>PONGOK</v>
          </cell>
        </row>
        <row r="536">
          <cell r="B536" t="str">
            <v>BANGKA SELATAN</v>
          </cell>
          <cell r="C536" t="str">
            <v>KEPULAUAN PONGOK</v>
          </cell>
          <cell r="D536" t="str">
            <v>PONGOK</v>
          </cell>
        </row>
        <row r="537">
          <cell r="B537" t="str">
            <v>BANGKA SELATAN</v>
          </cell>
          <cell r="C537" t="str">
            <v>KEPULAUAN PONGOK</v>
          </cell>
          <cell r="D537" t="str">
            <v>CELAGEN</v>
          </cell>
        </row>
        <row r="538">
          <cell r="B538" t="str">
            <v>BANGKA SELATAN</v>
          </cell>
          <cell r="C538" t="str">
            <v>KEPULAUAN PONGOK</v>
          </cell>
          <cell r="D538" t="str">
            <v>CELAGEN</v>
          </cell>
        </row>
        <row r="539">
          <cell r="B539" t="str">
            <v>BANGKA TENGAH</v>
          </cell>
          <cell r="C539" t="str">
            <v>KOBA</v>
          </cell>
          <cell r="D539" t="str">
            <v>KOBA</v>
          </cell>
        </row>
        <row r="540">
          <cell r="B540" t="str">
            <v>BANGKA TENGAH</v>
          </cell>
          <cell r="C540" t="str">
            <v>KOBA</v>
          </cell>
          <cell r="D540" t="str">
            <v>KOBA</v>
          </cell>
        </row>
        <row r="541">
          <cell r="B541" t="str">
            <v>BANGKA TENGAH</v>
          </cell>
          <cell r="C541" t="str">
            <v>KOBA</v>
          </cell>
          <cell r="D541" t="str">
            <v>KOBA</v>
          </cell>
        </row>
        <row r="542">
          <cell r="B542" t="str">
            <v>BANGKA TENGAH</v>
          </cell>
          <cell r="C542" t="str">
            <v>KOBA</v>
          </cell>
          <cell r="D542" t="str">
            <v>ARUNG DALAM</v>
          </cell>
        </row>
        <row r="543">
          <cell r="B543" t="str">
            <v>BANGKA TENGAH</v>
          </cell>
          <cell r="C543" t="str">
            <v>KOBA</v>
          </cell>
          <cell r="D543" t="str">
            <v>ARUNG DALAM</v>
          </cell>
        </row>
        <row r="544">
          <cell r="B544" t="str">
            <v>BANGKA TENGAH</v>
          </cell>
          <cell r="C544" t="str">
            <v>KOBA</v>
          </cell>
          <cell r="D544" t="str">
            <v>ARUNG DALAM</v>
          </cell>
        </row>
        <row r="545">
          <cell r="B545" t="str">
            <v>BANGKA TENGAH</v>
          </cell>
          <cell r="C545" t="str">
            <v>KOBA</v>
          </cell>
          <cell r="D545" t="str">
            <v>BEROK</v>
          </cell>
        </row>
        <row r="546">
          <cell r="B546" t="str">
            <v>BANGKA TENGAH</v>
          </cell>
          <cell r="C546" t="str">
            <v>KOBA</v>
          </cell>
          <cell r="D546" t="str">
            <v>BEROK</v>
          </cell>
        </row>
        <row r="547">
          <cell r="B547" t="str">
            <v>BANGKA TENGAH</v>
          </cell>
          <cell r="C547" t="str">
            <v>KOBA</v>
          </cell>
          <cell r="D547" t="str">
            <v>PADANG MULIA</v>
          </cell>
        </row>
        <row r="548">
          <cell r="B548" t="str">
            <v>BANGKA TENGAH</v>
          </cell>
          <cell r="C548" t="str">
            <v>KOBA</v>
          </cell>
          <cell r="D548" t="str">
            <v>PADANG MULIA</v>
          </cell>
        </row>
        <row r="549">
          <cell r="B549" t="str">
            <v>BANGKA TENGAH</v>
          </cell>
          <cell r="C549" t="str">
            <v>KOBA</v>
          </cell>
          <cell r="D549" t="str">
            <v>PADANG MULIA</v>
          </cell>
        </row>
        <row r="550">
          <cell r="B550" t="str">
            <v>BANGKA TENGAH</v>
          </cell>
          <cell r="C550" t="str">
            <v>KOBA</v>
          </cell>
          <cell r="D550" t="str">
            <v>SIMPANG PERLANG</v>
          </cell>
        </row>
        <row r="551">
          <cell r="B551" t="str">
            <v>NAMA KABUPATEN/KOTA</v>
          </cell>
          <cell r="C551" t="str">
            <v>NAMA KECAMATAN</v>
          </cell>
          <cell r="D551" t="str">
            <v>NAMA KELURAHAN</v>
          </cell>
        </row>
        <row r="556">
          <cell r="B556" t="str">
            <v>BANGKA TENGAH</v>
          </cell>
          <cell r="C556" t="str">
            <v>KOBA</v>
          </cell>
          <cell r="D556" t="str">
            <v>SIMPANG PERLANG</v>
          </cell>
        </row>
        <row r="557">
          <cell r="B557" t="str">
            <v>BANGKA TENGAH</v>
          </cell>
          <cell r="C557" t="str">
            <v>KOBA</v>
          </cell>
          <cell r="D557" t="str">
            <v>SIMPANG PERLANG</v>
          </cell>
        </row>
        <row r="558">
          <cell r="B558" t="str">
            <v>BANGKA TENGAH</v>
          </cell>
          <cell r="C558" t="str">
            <v>KOBA</v>
          </cell>
          <cell r="D558" t="str">
            <v>NIBUNG</v>
          </cell>
        </row>
        <row r="559">
          <cell r="B559" t="str">
            <v>BANGKA TENGAH</v>
          </cell>
          <cell r="C559" t="str">
            <v>KOBA</v>
          </cell>
          <cell r="D559" t="str">
            <v>NIBUNG</v>
          </cell>
        </row>
        <row r="560">
          <cell r="B560" t="str">
            <v>BANGKA TENGAH</v>
          </cell>
          <cell r="C560" t="str">
            <v>KOBA</v>
          </cell>
          <cell r="D560" t="str">
            <v>NIBUNG</v>
          </cell>
        </row>
        <row r="561">
          <cell r="B561" t="str">
            <v>BANGKA TENGAH</v>
          </cell>
          <cell r="C561" t="str">
            <v>KOBA</v>
          </cell>
          <cell r="D561" t="str">
            <v>KURAU (TIMUR)</v>
          </cell>
        </row>
        <row r="562">
          <cell r="B562" t="str">
            <v>BANGKA TENGAH</v>
          </cell>
          <cell r="C562" t="str">
            <v>KOBA</v>
          </cell>
          <cell r="D562" t="str">
            <v>KURAU (TIMUR)</v>
          </cell>
        </row>
        <row r="563">
          <cell r="B563" t="str">
            <v>BANGKA TENGAH</v>
          </cell>
          <cell r="C563" t="str">
            <v>KOBA</v>
          </cell>
          <cell r="D563" t="str">
            <v>GUNTUNG</v>
          </cell>
        </row>
        <row r="564">
          <cell r="B564" t="str">
            <v>BANGKA TENGAH</v>
          </cell>
          <cell r="C564" t="str">
            <v>KOBA</v>
          </cell>
          <cell r="D564" t="str">
            <v>GUNTUNG</v>
          </cell>
        </row>
        <row r="565">
          <cell r="B565" t="str">
            <v>BANGKA TENGAH</v>
          </cell>
          <cell r="C565" t="str">
            <v>KOBA</v>
          </cell>
          <cell r="D565" t="str">
            <v>PENYAK</v>
          </cell>
        </row>
        <row r="566">
          <cell r="B566" t="str">
            <v>BANGKA TENGAH</v>
          </cell>
          <cell r="C566" t="str">
            <v>KOBA</v>
          </cell>
          <cell r="D566" t="str">
            <v>PENYAK</v>
          </cell>
        </row>
        <row r="567">
          <cell r="B567" t="str">
            <v>BANGKA TENGAH</v>
          </cell>
          <cell r="C567" t="str">
            <v>KOBA</v>
          </cell>
          <cell r="D567" t="str">
            <v>PENYAK</v>
          </cell>
        </row>
        <row r="568">
          <cell r="B568" t="str">
            <v>BANGKA TENGAH</v>
          </cell>
          <cell r="C568" t="str">
            <v>KOBA</v>
          </cell>
          <cell r="D568" t="str">
            <v>TERENTANG III</v>
          </cell>
        </row>
        <row r="569">
          <cell r="B569" t="str">
            <v>BANGKA TENGAH</v>
          </cell>
          <cell r="C569" t="str">
            <v>KOBA</v>
          </cell>
          <cell r="D569" t="str">
            <v>TERENTANG III</v>
          </cell>
        </row>
        <row r="570">
          <cell r="B570" t="str">
            <v>BANGKA TENGAH</v>
          </cell>
          <cell r="C570" t="str">
            <v>KOBA</v>
          </cell>
          <cell r="D570" t="str">
            <v>KURAU BARAT</v>
          </cell>
        </row>
        <row r="571">
          <cell r="B571" t="str">
            <v>BANGKA TENGAH</v>
          </cell>
          <cell r="C571" t="str">
            <v>KOBA</v>
          </cell>
          <cell r="D571" t="str">
            <v>KURAU BARAT</v>
          </cell>
        </row>
        <row r="572">
          <cell r="B572" t="str">
            <v>BANGKA TENGAH</v>
          </cell>
          <cell r="C572" t="str">
            <v>PANGKALAN BARU</v>
          </cell>
          <cell r="D572" t="str">
            <v>DUL</v>
          </cell>
        </row>
        <row r="573">
          <cell r="B573" t="str">
            <v>BANGKA TENGAH</v>
          </cell>
          <cell r="C573" t="str">
            <v>PANGKALAN BARU</v>
          </cell>
          <cell r="D573" t="str">
            <v>DUL</v>
          </cell>
        </row>
        <row r="574">
          <cell r="B574" t="str">
            <v>BANGKA TENGAH</v>
          </cell>
          <cell r="C574" t="str">
            <v>PANGKALAN BARU</v>
          </cell>
          <cell r="D574" t="str">
            <v>DUL</v>
          </cell>
        </row>
        <row r="575">
          <cell r="B575" t="str">
            <v>BANGKA TENGAH</v>
          </cell>
          <cell r="C575" t="str">
            <v>PANGKALAN BARU</v>
          </cell>
          <cell r="D575" t="str">
            <v>AIR MESU</v>
          </cell>
        </row>
        <row r="576">
          <cell r="B576" t="str">
            <v>BANGKA TENGAH</v>
          </cell>
          <cell r="C576" t="str">
            <v>PANGKALAN BARU</v>
          </cell>
          <cell r="D576" t="str">
            <v>AIR MESU</v>
          </cell>
        </row>
        <row r="577">
          <cell r="B577" t="str">
            <v>BANGKA TENGAH</v>
          </cell>
          <cell r="C577" t="str">
            <v>PANGKALAN BARU</v>
          </cell>
          <cell r="D577" t="str">
            <v>MANGKOL</v>
          </cell>
        </row>
        <row r="578">
          <cell r="B578" t="str">
            <v>BANGKA TENGAH</v>
          </cell>
          <cell r="C578" t="str">
            <v>PANGKALAN BARU</v>
          </cell>
          <cell r="D578" t="str">
            <v>MANGKOL</v>
          </cell>
        </row>
        <row r="579">
          <cell r="B579" t="str">
            <v>BANGKA TENGAH</v>
          </cell>
          <cell r="C579" t="str">
            <v>PANGKALAN BARU</v>
          </cell>
          <cell r="D579" t="str">
            <v>MANGKOL</v>
          </cell>
        </row>
        <row r="580">
          <cell r="B580" t="str">
            <v>BANGKA TENGAH</v>
          </cell>
          <cell r="C580" t="str">
            <v>PANGKALAN BARU</v>
          </cell>
          <cell r="D580" t="str">
            <v>TANJUNG GUNUNG</v>
          </cell>
        </row>
        <row r="581">
          <cell r="B581" t="str">
            <v>BANGKA TENGAH</v>
          </cell>
          <cell r="C581" t="str">
            <v>PANGKALAN BARU</v>
          </cell>
          <cell r="D581" t="str">
            <v>TANJUNG GUNUNG</v>
          </cell>
        </row>
        <row r="582">
          <cell r="B582" t="str">
            <v>BANGKA TENGAH</v>
          </cell>
          <cell r="C582" t="str">
            <v>PANGKALAN BARU</v>
          </cell>
          <cell r="D582" t="str">
            <v>TANJUNG GUNUNG</v>
          </cell>
        </row>
        <row r="583">
          <cell r="B583" t="str">
            <v>BANGKA TENGAH</v>
          </cell>
          <cell r="C583" t="str">
            <v>PANGKALAN BARU</v>
          </cell>
          <cell r="D583" t="str">
            <v>BENTENG</v>
          </cell>
        </row>
        <row r="584">
          <cell r="B584" t="str">
            <v>BANGKA TENGAH</v>
          </cell>
          <cell r="C584" t="str">
            <v>PANGKALAN BARU</v>
          </cell>
          <cell r="D584" t="str">
            <v>BENTENG</v>
          </cell>
        </row>
        <row r="585">
          <cell r="B585" t="str">
            <v>BANGKA TENGAH</v>
          </cell>
          <cell r="C585" t="str">
            <v>PANGKALAN BARU</v>
          </cell>
          <cell r="D585" t="str">
            <v>PADANG BARU</v>
          </cell>
        </row>
        <row r="586">
          <cell r="B586" t="str">
            <v>BANGKA TENGAH</v>
          </cell>
          <cell r="C586" t="str">
            <v>PANGKALAN BARU</v>
          </cell>
          <cell r="D586" t="str">
            <v>PADANG BARU</v>
          </cell>
        </row>
        <row r="587">
          <cell r="B587" t="str">
            <v>BANGKA TENGAH</v>
          </cell>
          <cell r="C587" t="str">
            <v>PANGKALAN BARU</v>
          </cell>
          <cell r="D587" t="str">
            <v>JERUK</v>
          </cell>
        </row>
        <row r="588">
          <cell r="B588" t="str">
            <v>BANGKA TENGAH</v>
          </cell>
          <cell r="C588" t="str">
            <v>PANGKALAN BARU</v>
          </cell>
          <cell r="D588" t="str">
            <v>JERUK</v>
          </cell>
        </row>
        <row r="589">
          <cell r="B589" t="str">
            <v>BANGKA TENGAH</v>
          </cell>
          <cell r="C589" t="str">
            <v>PANGKALAN BARU</v>
          </cell>
          <cell r="D589" t="str">
            <v>BELULUK</v>
          </cell>
        </row>
        <row r="590">
          <cell r="B590" t="str">
            <v>BANGKA TENGAH</v>
          </cell>
          <cell r="C590" t="str">
            <v>PANGKALAN BARU</v>
          </cell>
          <cell r="D590" t="str">
            <v>BELULUK</v>
          </cell>
        </row>
        <row r="591">
          <cell r="B591" t="str">
            <v>BANGKA TENGAH</v>
          </cell>
          <cell r="C591" t="str">
            <v>PANGKALAN BARU</v>
          </cell>
          <cell r="D591" t="str">
            <v>BELULUK</v>
          </cell>
        </row>
        <row r="592">
          <cell r="B592" t="str">
            <v>BANGKA TENGAH</v>
          </cell>
          <cell r="C592" t="str">
            <v>PANGKALAN BARU</v>
          </cell>
          <cell r="D592" t="str">
            <v>PEDINDANG</v>
          </cell>
        </row>
        <row r="593">
          <cell r="B593" t="str">
            <v>BANGKA TENGAH</v>
          </cell>
          <cell r="C593" t="str">
            <v>PANGKALAN BARU</v>
          </cell>
          <cell r="D593" t="str">
            <v>PEDINDANG</v>
          </cell>
        </row>
        <row r="594">
          <cell r="B594" t="str">
            <v>BANGKA TENGAH</v>
          </cell>
          <cell r="C594" t="str">
            <v>PANGKALAN BARU</v>
          </cell>
          <cell r="D594" t="str">
            <v>BATU BELUBANG</v>
          </cell>
        </row>
        <row r="595">
          <cell r="B595" t="str">
            <v>BANGKA TENGAH</v>
          </cell>
          <cell r="C595" t="str">
            <v>PANGKALAN BARU</v>
          </cell>
          <cell r="D595" t="str">
            <v>BATU BELUBANG</v>
          </cell>
        </row>
        <row r="596">
          <cell r="B596" t="str">
            <v>BANGKA TENGAH</v>
          </cell>
          <cell r="C596" t="str">
            <v>PANGKALAN BARU</v>
          </cell>
          <cell r="D596" t="str">
            <v>BATU BELUBANG</v>
          </cell>
        </row>
        <row r="597">
          <cell r="B597" t="str">
            <v>BANGKA TENGAH</v>
          </cell>
          <cell r="C597" t="str">
            <v>PANGKALAN BARU</v>
          </cell>
          <cell r="D597" t="str">
            <v>AIR MESU TIMUR</v>
          </cell>
        </row>
        <row r="598">
          <cell r="B598" t="str">
            <v>BANGKA TENGAH</v>
          </cell>
          <cell r="C598" t="str">
            <v>PANGKALAN BARU</v>
          </cell>
          <cell r="D598" t="str">
            <v>AIR MESU TIMUR</v>
          </cell>
        </row>
        <row r="599">
          <cell r="B599" t="str">
            <v>BANGKA TENGAH</v>
          </cell>
          <cell r="C599" t="str">
            <v>PANGKALAN BARU</v>
          </cell>
          <cell r="D599" t="str">
            <v>KEBINTIK</v>
          </cell>
        </row>
        <row r="600">
          <cell r="B600" t="str">
            <v>BANGKA TENGAH</v>
          </cell>
          <cell r="C600" t="str">
            <v>PANGKALAN BARU</v>
          </cell>
          <cell r="D600" t="str">
            <v>KEBINTIK</v>
          </cell>
        </row>
        <row r="601">
          <cell r="B601" t="str">
            <v>BANGKA TENGAH</v>
          </cell>
          <cell r="C601" t="str">
            <v>SUNGAI SELAN</v>
          </cell>
          <cell r="D601" t="str">
            <v>SUNGAI SELAN</v>
          </cell>
        </row>
        <row r="602">
          <cell r="B602" t="str">
            <v>BANGKA TENGAH</v>
          </cell>
          <cell r="C602" t="str">
            <v>SUNGAI SELAN</v>
          </cell>
          <cell r="D602" t="str">
            <v>SUNGAI SELAN</v>
          </cell>
        </row>
        <row r="603">
          <cell r="B603" t="str">
            <v>BANGKA TENGAH</v>
          </cell>
          <cell r="C603" t="str">
            <v>SUNGAI SELAN</v>
          </cell>
          <cell r="D603" t="str">
            <v>SUNGAI SELAN</v>
          </cell>
        </row>
        <row r="604">
          <cell r="B604" t="str">
            <v>BANGKA TENGAH</v>
          </cell>
          <cell r="C604" t="str">
            <v>SUNGAI SELAN</v>
          </cell>
          <cell r="D604" t="str">
            <v>KERANTAI</v>
          </cell>
        </row>
        <row r="605">
          <cell r="B605" t="str">
            <v>BANGKA TENGAH</v>
          </cell>
          <cell r="C605" t="str">
            <v>SUNGAI SELAN</v>
          </cell>
          <cell r="D605" t="str">
            <v>KERANTAI</v>
          </cell>
        </row>
        <row r="606">
          <cell r="B606" t="str">
            <v>BANGKA TENGAH</v>
          </cell>
          <cell r="C606" t="str">
            <v>SUNGAI SELAN</v>
          </cell>
          <cell r="D606" t="str">
            <v>KERETAK</v>
          </cell>
        </row>
        <row r="607">
          <cell r="B607" t="str">
            <v>BANGKA TENGAH</v>
          </cell>
          <cell r="C607" t="str">
            <v>SUNGAI SELAN</v>
          </cell>
          <cell r="D607" t="str">
            <v>KERETAK</v>
          </cell>
        </row>
        <row r="608">
          <cell r="B608" t="str">
            <v>BANGKA TENGAH</v>
          </cell>
          <cell r="C608" t="str">
            <v>SUNGAI SELAN</v>
          </cell>
          <cell r="D608" t="str">
            <v>LAMPUR</v>
          </cell>
        </row>
        <row r="609">
          <cell r="B609" t="str">
            <v>BANGKA TENGAH</v>
          </cell>
          <cell r="C609" t="str">
            <v>SUNGAI SELAN</v>
          </cell>
          <cell r="D609" t="str">
            <v>LAMPUR</v>
          </cell>
        </row>
        <row r="610">
          <cell r="B610" t="str">
            <v>BANGKA TENGAH</v>
          </cell>
          <cell r="C610" t="str">
            <v>SUNGAI SELAN</v>
          </cell>
          <cell r="D610" t="str">
            <v>LAMPUR</v>
          </cell>
        </row>
        <row r="611">
          <cell r="B611" t="str">
            <v>BANGKA TENGAH</v>
          </cell>
          <cell r="C611" t="str">
            <v>SUNGAI SELAN</v>
          </cell>
          <cell r="D611" t="str">
            <v>SARANG MANDI</v>
          </cell>
        </row>
        <row r="612">
          <cell r="B612" t="str">
            <v>BANGKA TENGAH</v>
          </cell>
          <cell r="C612" t="str">
            <v>SUNGAI SELAN</v>
          </cell>
          <cell r="D612" t="str">
            <v>SARANG MANDI</v>
          </cell>
        </row>
        <row r="613">
          <cell r="B613" t="str">
            <v>BANGKA TENGAH</v>
          </cell>
          <cell r="C613" t="str">
            <v>SUNGAI SELAN</v>
          </cell>
          <cell r="D613" t="str">
            <v>MUNGGU</v>
          </cell>
        </row>
        <row r="614">
          <cell r="B614" t="str">
            <v>BANGKA TENGAH</v>
          </cell>
          <cell r="C614" t="str">
            <v>SUNGAI SELAN</v>
          </cell>
          <cell r="D614" t="str">
            <v>MUNGGU</v>
          </cell>
        </row>
        <row r="615">
          <cell r="B615" t="str">
            <v>BANGKA TENGAH</v>
          </cell>
          <cell r="C615" t="str">
            <v>SUNGAI SELAN</v>
          </cell>
          <cell r="D615" t="str">
            <v>KEMINGKING</v>
          </cell>
        </row>
        <row r="616">
          <cell r="B616" t="str">
            <v>BANGKA TENGAH</v>
          </cell>
          <cell r="C616" t="str">
            <v>SUNGAI SELAN</v>
          </cell>
          <cell r="D616" t="str">
            <v>KEMINGKING</v>
          </cell>
        </row>
        <row r="617">
          <cell r="B617" t="str">
            <v>BANGKA TENGAH</v>
          </cell>
          <cell r="C617" t="str">
            <v>SUNGAI SELAN</v>
          </cell>
          <cell r="D617" t="str">
            <v>SUNGAI SELAN ATAS</v>
          </cell>
        </row>
        <row r="618">
          <cell r="B618" t="str">
            <v>BANGKA TENGAH</v>
          </cell>
          <cell r="C618" t="str">
            <v>SUNGAI SELAN</v>
          </cell>
          <cell r="D618" t="str">
            <v>SUNGAI SELAN ATAS</v>
          </cell>
        </row>
        <row r="619">
          <cell r="B619" t="str">
            <v>BANGKA TENGAH</v>
          </cell>
          <cell r="C619" t="str">
            <v>SUNGAI SELAN</v>
          </cell>
          <cell r="D619" t="str">
            <v>TANJUNG PURA</v>
          </cell>
        </row>
        <row r="620">
          <cell r="B620" t="str">
            <v>NAMA KABUPATEN/KOTA</v>
          </cell>
          <cell r="C620" t="str">
            <v>NAMA KECAMATAN</v>
          </cell>
          <cell r="D620" t="str">
            <v>NAMA KELURAHAN</v>
          </cell>
        </row>
        <row r="625">
          <cell r="B625" t="str">
            <v>BANGKA TENGAH</v>
          </cell>
          <cell r="C625" t="str">
            <v>SUNGAI SELAN</v>
          </cell>
          <cell r="D625" t="str">
            <v>TANJUNG PURA</v>
          </cell>
        </row>
        <row r="626">
          <cell r="B626" t="str">
            <v>BANGKA TENGAH</v>
          </cell>
          <cell r="C626" t="str">
            <v>SUNGAI SELAN</v>
          </cell>
          <cell r="D626" t="str">
            <v>ROMADHON</v>
          </cell>
        </row>
        <row r="627">
          <cell r="B627" t="str">
            <v>BANGKA TENGAH</v>
          </cell>
          <cell r="C627" t="str">
            <v>SUNGAI SELAN</v>
          </cell>
          <cell r="D627" t="str">
            <v>ROMADHON</v>
          </cell>
        </row>
        <row r="628">
          <cell r="B628" t="str">
            <v>BANGKA TENGAH</v>
          </cell>
          <cell r="C628" t="str">
            <v>SUNGAI SELAN</v>
          </cell>
          <cell r="D628" t="str">
            <v>KERAKAS</v>
          </cell>
        </row>
        <row r="629">
          <cell r="B629" t="str">
            <v>BANGKA TENGAH</v>
          </cell>
          <cell r="C629" t="str">
            <v>SUNGAI SELAN</v>
          </cell>
          <cell r="D629" t="str">
            <v>KERAKAS</v>
          </cell>
        </row>
        <row r="630">
          <cell r="B630" t="str">
            <v>BANGKA TENGAH</v>
          </cell>
          <cell r="C630" t="str">
            <v>SUNGAI SELAN</v>
          </cell>
          <cell r="D630" t="str">
            <v>MELABUN</v>
          </cell>
        </row>
        <row r="631">
          <cell r="B631" t="str">
            <v>BANGKA TENGAH</v>
          </cell>
          <cell r="C631" t="str">
            <v>SUNGAI SELAN</v>
          </cell>
          <cell r="D631" t="str">
            <v>MELABUN</v>
          </cell>
        </row>
        <row r="632">
          <cell r="B632" t="str">
            <v>BANGKA TENGAH</v>
          </cell>
          <cell r="C632" t="str">
            <v>SUNGAI SELAN</v>
          </cell>
          <cell r="D632" t="str">
            <v>KERETAK ATAS</v>
          </cell>
        </row>
        <row r="633">
          <cell r="B633" t="str">
            <v>BANGKA TENGAH</v>
          </cell>
          <cell r="C633" t="str">
            <v>SUNGAI SELAN</v>
          </cell>
          <cell r="D633" t="str">
            <v>KERETAK ATAS</v>
          </cell>
        </row>
        <row r="634">
          <cell r="B634" t="str">
            <v>BANGKA TENGAH</v>
          </cell>
          <cell r="C634" t="str">
            <v>SIMPANG KATIS</v>
          </cell>
          <cell r="D634" t="str">
            <v>SIMPANG KATIS</v>
          </cell>
        </row>
        <row r="635">
          <cell r="B635" t="str">
            <v>BANGKA TENGAH</v>
          </cell>
          <cell r="C635" t="str">
            <v>SIMPANG KATIS</v>
          </cell>
          <cell r="D635" t="str">
            <v>SIMPANG KATIS</v>
          </cell>
        </row>
        <row r="636">
          <cell r="B636" t="str">
            <v>BANGKA TENGAH</v>
          </cell>
          <cell r="C636" t="str">
            <v>SIMPANG KATIS</v>
          </cell>
          <cell r="D636" t="str">
            <v>CELUAK</v>
          </cell>
        </row>
        <row r="637">
          <cell r="B637" t="str">
            <v>BANGKA TENGAH</v>
          </cell>
          <cell r="C637" t="str">
            <v>SIMPANG KATIS</v>
          </cell>
          <cell r="D637" t="str">
            <v>CELUAK</v>
          </cell>
        </row>
        <row r="638">
          <cell r="B638" t="str">
            <v>BANGKA TENGAH</v>
          </cell>
          <cell r="C638" t="str">
            <v>SIMPANG KATIS</v>
          </cell>
          <cell r="D638" t="str">
            <v>SUNGKAP</v>
          </cell>
        </row>
        <row r="639">
          <cell r="B639" t="str">
            <v>BANGKA TENGAH</v>
          </cell>
          <cell r="C639" t="str">
            <v>SIMPANG KATIS</v>
          </cell>
          <cell r="D639" t="str">
            <v>SUNGKAP</v>
          </cell>
        </row>
        <row r="640">
          <cell r="B640" t="str">
            <v>BANGKA TENGAH</v>
          </cell>
          <cell r="C640" t="str">
            <v>SIMPANG KATIS</v>
          </cell>
          <cell r="D640" t="str">
            <v>BERUAS</v>
          </cell>
        </row>
        <row r="641">
          <cell r="B641" t="str">
            <v>BANGKA TENGAH</v>
          </cell>
          <cell r="C641" t="str">
            <v>SIMPANG KATIS</v>
          </cell>
          <cell r="D641" t="str">
            <v>BERUAS</v>
          </cell>
        </row>
        <row r="642">
          <cell r="B642" t="str">
            <v>BANGKA TENGAH</v>
          </cell>
          <cell r="C642" t="str">
            <v>SIMPANG KATIS</v>
          </cell>
          <cell r="D642" t="str">
            <v>PUPUT</v>
          </cell>
        </row>
        <row r="643">
          <cell r="B643" t="str">
            <v>BANGKA TENGAH</v>
          </cell>
          <cell r="C643" t="str">
            <v>SIMPANG KATIS</v>
          </cell>
          <cell r="D643" t="str">
            <v>PUPUT</v>
          </cell>
        </row>
        <row r="644">
          <cell r="B644" t="str">
            <v>BANGKA TENGAH</v>
          </cell>
          <cell r="C644" t="str">
            <v>SIMPANG KATIS</v>
          </cell>
          <cell r="D644" t="str">
            <v>TERU</v>
          </cell>
        </row>
        <row r="645">
          <cell r="B645" t="str">
            <v>BANGKA TENGAH</v>
          </cell>
          <cell r="C645" t="str">
            <v>SIMPANG KATIS</v>
          </cell>
          <cell r="D645" t="str">
            <v>TERU</v>
          </cell>
        </row>
        <row r="646">
          <cell r="B646" t="str">
            <v>BANGKA TENGAH</v>
          </cell>
          <cell r="C646" t="str">
            <v>SIMPANG KATIS</v>
          </cell>
          <cell r="D646" t="str">
            <v>TERAK</v>
          </cell>
        </row>
        <row r="647">
          <cell r="B647" t="str">
            <v>BANGKA TENGAH</v>
          </cell>
          <cell r="C647" t="str">
            <v>SIMPANG KATIS</v>
          </cell>
          <cell r="D647" t="str">
            <v>TERAK</v>
          </cell>
        </row>
        <row r="648">
          <cell r="B648" t="str">
            <v>BANGKA TENGAH</v>
          </cell>
          <cell r="C648" t="str">
            <v>SIMPANG KATIS</v>
          </cell>
          <cell r="D648" t="str">
            <v>TERAK</v>
          </cell>
        </row>
        <row r="649">
          <cell r="B649" t="str">
            <v>BANGKA TENGAH</v>
          </cell>
          <cell r="C649" t="str">
            <v>SIMPANG KATIS</v>
          </cell>
          <cell r="D649" t="str">
            <v>PASIR GARAM</v>
          </cell>
        </row>
        <row r="650">
          <cell r="B650" t="str">
            <v>BANGKA TENGAH</v>
          </cell>
          <cell r="C650" t="str">
            <v>SIMPANG KATIS</v>
          </cell>
          <cell r="D650" t="str">
            <v>PASIR GARAM</v>
          </cell>
        </row>
        <row r="651">
          <cell r="B651" t="str">
            <v>BANGKA TENGAH</v>
          </cell>
          <cell r="C651" t="str">
            <v>SIMPANG KATIS</v>
          </cell>
          <cell r="D651" t="str">
            <v>KATIS</v>
          </cell>
        </row>
        <row r="652">
          <cell r="B652" t="str">
            <v>BANGKA TENGAH</v>
          </cell>
          <cell r="C652" t="str">
            <v>SIMPANG KATIS</v>
          </cell>
          <cell r="D652" t="str">
            <v>KATIS</v>
          </cell>
        </row>
        <row r="653">
          <cell r="B653" t="str">
            <v>BANGKA TENGAH</v>
          </cell>
          <cell r="C653" t="str">
            <v>SIMPANG KATIS</v>
          </cell>
          <cell r="D653" t="str">
            <v>PINANG SEBATANG</v>
          </cell>
        </row>
        <row r="654">
          <cell r="B654" t="str">
            <v>BANGKA TENGAH</v>
          </cell>
          <cell r="C654" t="str">
            <v>SIMPANG KATIS</v>
          </cell>
          <cell r="D654" t="str">
            <v>PINANG SEBATANG</v>
          </cell>
        </row>
        <row r="655">
          <cell r="B655" t="str">
            <v>BANGKA TENGAH</v>
          </cell>
          <cell r="C655" t="str">
            <v>NAMANG</v>
          </cell>
          <cell r="D655" t="str">
            <v>NAMANG</v>
          </cell>
        </row>
        <row r="656">
          <cell r="B656" t="str">
            <v>BANGKA TENGAH</v>
          </cell>
          <cell r="C656" t="str">
            <v>NAMANG</v>
          </cell>
          <cell r="D656" t="str">
            <v>NAMANG</v>
          </cell>
        </row>
        <row r="657">
          <cell r="B657" t="str">
            <v>BANGKA TENGAH</v>
          </cell>
          <cell r="C657" t="str">
            <v>NAMANG</v>
          </cell>
          <cell r="D657" t="str">
            <v>CAMBAI</v>
          </cell>
        </row>
        <row r="658">
          <cell r="B658" t="str">
            <v>BANGKA TENGAH</v>
          </cell>
          <cell r="C658" t="str">
            <v>NAMANG</v>
          </cell>
          <cell r="D658" t="str">
            <v>CAMBAI</v>
          </cell>
        </row>
        <row r="659">
          <cell r="B659" t="str">
            <v>BANGKA TENGAH</v>
          </cell>
          <cell r="C659" t="str">
            <v>NAMANG</v>
          </cell>
          <cell r="D659" t="str">
            <v>KAYU BESI</v>
          </cell>
        </row>
        <row r="660">
          <cell r="B660" t="str">
            <v>BANGKA TENGAH</v>
          </cell>
          <cell r="C660" t="str">
            <v>NAMANG</v>
          </cell>
          <cell r="D660" t="str">
            <v>KAYU BESI</v>
          </cell>
        </row>
        <row r="661">
          <cell r="B661" t="str">
            <v>BANGKA TENGAH</v>
          </cell>
          <cell r="C661" t="str">
            <v>NAMANG</v>
          </cell>
          <cell r="D661" t="str">
            <v>JELUTUNG</v>
          </cell>
        </row>
        <row r="662">
          <cell r="B662" t="str">
            <v>BANGKA TENGAH</v>
          </cell>
          <cell r="C662" t="str">
            <v>NAMANG</v>
          </cell>
          <cell r="D662" t="str">
            <v>JELUTUNG</v>
          </cell>
        </row>
        <row r="663">
          <cell r="B663" t="str">
            <v>BANGKA TENGAH</v>
          </cell>
          <cell r="C663" t="str">
            <v>NAMANG</v>
          </cell>
          <cell r="D663" t="str">
            <v>BELILIK</v>
          </cell>
        </row>
        <row r="664">
          <cell r="B664" t="str">
            <v>BANGKA TENGAH</v>
          </cell>
          <cell r="C664" t="str">
            <v>NAMANG</v>
          </cell>
          <cell r="D664" t="str">
            <v>BELILIK</v>
          </cell>
        </row>
        <row r="665">
          <cell r="B665" t="str">
            <v>BANGKA TENGAH</v>
          </cell>
          <cell r="C665" t="str">
            <v>NAMANG</v>
          </cell>
          <cell r="D665" t="str">
            <v>BHASKARA BHAKTI</v>
          </cell>
        </row>
        <row r="666">
          <cell r="B666" t="str">
            <v>BANGKA TENGAH</v>
          </cell>
          <cell r="C666" t="str">
            <v>NAMANG</v>
          </cell>
          <cell r="D666" t="str">
            <v>BHASKARA BHAKTI</v>
          </cell>
        </row>
        <row r="667">
          <cell r="B667" t="str">
            <v>BANGKA TENGAH</v>
          </cell>
          <cell r="C667" t="str">
            <v>NAMANG</v>
          </cell>
          <cell r="D667" t="str">
            <v>BUKIT KIJANG</v>
          </cell>
        </row>
        <row r="668">
          <cell r="B668" t="str">
            <v>BANGKA TENGAH</v>
          </cell>
          <cell r="C668" t="str">
            <v>NAMANG</v>
          </cell>
          <cell r="D668" t="str">
            <v>BUKIT KIJANG</v>
          </cell>
        </row>
        <row r="669">
          <cell r="B669" t="str">
            <v>BANGKA TENGAH</v>
          </cell>
          <cell r="C669" t="str">
            <v>NAMANG</v>
          </cell>
          <cell r="D669" t="str">
            <v>CAMBAI SELATAN</v>
          </cell>
        </row>
        <row r="670">
          <cell r="B670" t="str">
            <v>BANGKA TENGAH</v>
          </cell>
          <cell r="C670" t="str">
            <v>NAMANG</v>
          </cell>
          <cell r="D670" t="str">
            <v>CAMBAI SELATAN</v>
          </cell>
        </row>
        <row r="671">
          <cell r="B671" t="str">
            <v>BANGKA TENGAH</v>
          </cell>
          <cell r="C671" t="str">
            <v>LUBUK BESAR</v>
          </cell>
          <cell r="D671" t="str">
            <v>PERLANG</v>
          </cell>
        </row>
        <row r="672">
          <cell r="B672" t="str">
            <v>BANGKA TENGAH</v>
          </cell>
          <cell r="C672" t="str">
            <v>LUBUK BESAR</v>
          </cell>
          <cell r="D672" t="str">
            <v>PERLANG</v>
          </cell>
        </row>
        <row r="673">
          <cell r="B673" t="str">
            <v>BANGKA TENGAH</v>
          </cell>
          <cell r="C673" t="str">
            <v>LUBUK BESAR</v>
          </cell>
          <cell r="D673" t="str">
            <v>PERLANG</v>
          </cell>
        </row>
        <row r="674">
          <cell r="B674" t="str">
            <v>BANGKA TENGAH</v>
          </cell>
          <cell r="C674" t="str">
            <v>LUBUK BESAR</v>
          </cell>
          <cell r="D674" t="str">
            <v>BATU BERIGA</v>
          </cell>
        </row>
        <row r="675">
          <cell r="B675" t="str">
            <v>BANGKA TENGAH</v>
          </cell>
          <cell r="C675" t="str">
            <v>LUBUK BESAR</v>
          </cell>
          <cell r="D675" t="str">
            <v>BATU BERIGA</v>
          </cell>
        </row>
        <row r="676">
          <cell r="B676" t="str">
            <v>BANGKA TENGAH</v>
          </cell>
          <cell r="C676" t="str">
            <v>LUBUK BESAR</v>
          </cell>
          <cell r="D676" t="str">
            <v>LUBUK BESAR</v>
          </cell>
        </row>
        <row r="677">
          <cell r="B677" t="str">
            <v>BANGKA TENGAH</v>
          </cell>
          <cell r="C677" t="str">
            <v>LUBUK BESAR</v>
          </cell>
          <cell r="D677" t="str">
            <v>LUBUK BESAR</v>
          </cell>
        </row>
        <row r="678">
          <cell r="B678" t="str">
            <v>BANGKA TENGAH</v>
          </cell>
          <cell r="C678" t="str">
            <v>LUBUK BESAR</v>
          </cell>
          <cell r="D678" t="str">
            <v>LUBUK BESAR</v>
          </cell>
        </row>
        <row r="679">
          <cell r="B679" t="str">
            <v>BANGKA TENGAH</v>
          </cell>
          <cell r="C679" t="str">
            <v>LUBUK BESAR</v>
          </cell>
          <cell r="D679" t="str">
            <v>KULUR</v>
          </cell>
        </row>
        <row r="680">
          <cell r="B680" t="str">
            <v>BANGKA TENGAH</v>
          </cell>
          <cell r="C680" t="str">
            <v>LUBUK BESAR</v>
          </cell>
          <cell r="D680" t="str">
            <v>KULUR</v>
          </cell>
        </row>
        <row r="681">
          <cell r="B681" t="str">
            <v>BANGKA TENGAH</v>
          </cell>
          <cell r="C681" t="str">
            <v>LUBUK BESAR</v>
          </cell>
          <cell r="D681" t="str">
            <v>LUBUK LINGKUK</v>
          </cell>
        </row>
        <row r="682">
          <cell r="B682" t="str">
            <v>BANGKA TENGAH</v>
          </cell>
          <cell r="C682" t="str">
            <v>LUBUK BESAR</v>
          </cell>
          <cell r="D682" t="str">
            <v>LUBUK LINGKUK</v>
          </cell>
        </row>
        <row r="683">
          <cell r="B683" t="str">
            <v>BANGKA TENGAH</v>
          </cell>
          <cell r="C683" t="str">
            <v>LUBUK BESAR</v>
          </cell>
          <cell r="D683" t="str">
            <v>LUBUK PABRIK</v>
          </cell>
        </row>
        <row r="684">
          <cell r="B684" t="str">
            <v>BANGKA TENGAH</v>
          </cell>
          <cell r="C684" t="str">
            <v>LUBUK BESAR</v>
          </cell>
          <cell r="D684" t="str">
            <v>LUBUK PABRIK</v>
          </cell>
        </row>
        <row r="685">
          <cell r="B685" t="str">
            <v>BANGKA TENGAH</v>
          </cell>
          <cell r="C685" t="str">
            <v>LUBUK BESAR</v>
          </cell>
          <cell r="D685" t="str">
            <v>LUBUK PABRIK</v>
          </cell>
        </row>
        <row r="686">
          <cell r="B686" t="str">
            <v>BANGKA TENGAH</v>
          </cell>
          <cell r="C686" t="str">
            <v>LUBUK BESAR</v>
          </cell>
          <cell r="D686" t="str">
            <v>TRUBUS</v>
          </cell>
        </row>
        <row r="687">
          <cell r="B687" t="str">
            <v>BANGKA TENGAH</v>
          </cell>
          <cell r="C687" t="str">
            <v>LUBUK BESAR</v>
          </cell>
          <cell r="D687" t="str">
            <v>TRUBUS</v>
          </cell>
        </row>
        <row r="688">
          <cell r="B688" t="str">
            <v>BANGKA TENGAH</v>
          </cell>
          <cell r="C688" t="str">
            <v>LUBUK BESAR</v>
          </cell>
          <cell r="D688" t="str">
            <v>KULUR ILIR</v>
          </cell>
        </row>
        <row r="689">
          <cell r="B689" t="str">
            <v>NAMA KABUPATEN/KOTA</v>
          </cell>
          <cell r="C689" t="str">
            <v>NAMA KECAMATAN</v>
          </cell>
          <cell r="D689" t="str">
            <v>NAMA KELURAHAN</v>
          </cell>
        </row>
        <row r="694">
          <cell r="B694" t="str">
            <v>BANGKA TENGAH</v>
          </cell>
          <cell r="C694" t="str">
            <v>LUBUK BESAR</v>
          </cell>
          <cell r="D694" t="str">
            <v>KULUR ILIR</v>
          </cell>
        </row>
        <row r="695">
          <cell r="B695" t="str">
            <v>BANGKA TENGAH</v>
          </cell>
          <cell r="C695" t="str">
            <v>LUBUK BESAR</v>
          </cell>
          <cell r="D695" t="str">
            <v>BELIMBING</v>
          </cell>
        </row>
        <row r="696">
          <cell r="B696" t="str">
            <v>BANGKA TENGAH</v>
          </cell>
          <cell r="C696" t="str">
            <v>LUBUK BESAR</v>
          </cell>
          <cell r="D696" t="str">
            <v>BELIMBING</v>
          </cell>
        </row>
        <row r="697">
          <cell r="B697" t="str">
            <v>BANGKA BARAT</v>
          </cell>
          <cell r="C697" t="str">
            <v>MENTOK</v>
          </cell>
          <cell r="D697" t="str">
            <v>TANJUNG</v>
          </cell>
        </row>
        <row r="698">
          <cell r="B698" t="str">
            <v>BANGKA BARAT</v>
          </cell>
          <cell r="C698" t="str">
            <v>MENTOK</v>
          </cell>
          <cell r="D698" t="str">
            <v>TANJUNG</v>
          </cell>
        </row>
        <row r="699">
          <cell r="B699" t="str">
            <v>BANGKA BARAT</v>
          </cell>
          <cell r="C699" t="str">
            <v>MENTOK</v>
          </cell>
          <cell r="D699" t="str">
            <v>TANJUNG</v>
          </cell>
        </row>
        <row r="700">
          <cell r="B700" t="str">
            <v>BANGKA BARAT</v>
          </cell>
          <cell r="C700" t="str">
            <v>MENTOK</v>
          </cell>
          <cell r="D700" t="str">
            <v>TANJUNG</v>
          </cell>
        </row>
        <row r="701">
          <cell r="B701" t="str">
            <v>BANGKA BARAT</v>
          </cell>
          <cell r="C701" t="str">
            <v>MENTOK</v>
          </cell>
          <cell r="D701" t="str">
            <v>SUNGAI DAENG</v>
          </cell>
        </row>
        <row r="702">
          <cell r="B702" t="str">
            <v>BANGKA BARAT</v>
          </cell>
          <cell r="C702" t="str">
            <v>MENTOK</v>
          </cell>
          <cell r="D702" t="str">
            <v>SUNGAI DAENG</v>
          </cell>
        </row>
        <row r="703">
          <cell r="B703" t="str">
            <v>BANGKA BARAT</v>
          </cell>
          <cell r="C703" t="str">
            <v>MENTOK</v>
          </cell>
          <cell r="D703" t="str">
            <v>SUNGAI DAENG</v>
          </cell>
        </row>
        <row r="704">
          <cell r="B704" t="str">
            <v>BANGKA BARAT</v>
          </cell>
          <cell r="C704" t="str">
            <v>MENTOK</v>
          </cell>
          <cell r="D704" t="str">
            <v>SUNGAI DAENG</v>
          </cell>
        </row>
        <row r="705">
          <cell r="B705" t="str">
            <v>BANGKA BARAT</v>
          </cell>
          <cell r="C705" t="str">
            <v>MENTOK</v>
          </cell>
          <cell r="D705" t="str">
            <v>SUNGAI BARU</v>
          </cell>
        </row>
        <row r="706">
          <cell r="B706" t="str">
            <v>BANGKA BARAT</v>
          </cell>
          <cell r="C706" t="str">
            <v>MENTOK</v>
          </cell>
          <cell r="D706" t="str">
            <v>SUNGAI BARU</v>
          </cell>
        </row>
        <row r="707">
          <cell r="B707" t="str">
            <v>BANGKA BARAT</v>
          </cell>
          <cell r="C707" t="str">
            <v>MENTOK</v>
          </cell>
          <cell r="D707" t="str">
            <v>SUNGAI BARU</v>
          </cell>
        </row>
        <row r="708">
          <cell r="B708" t="str">
            <v>BANGKA BARAT</v>
          </cell>
          <cell r="C708" t="str">
            <v>MENTOK</v>
          </cell>
          <cell r="D708" t="str">
            <v>KERANGGAN</v>
          </cell>
        </row>
        <row r="709">
          <cell r="B709" t="str">
            <v>BANGKA BARAT</v>
          </cell>
          <cell r="C709" t="str">
            <v>MENTOK</v>
          </cell>
          <cell r="D709" t="str">
            <v>KERANGGAN</v>
          </cell>
        </row>
        <row r="710">
          <cell r="B710" t="str">
            <v>BANGKA BARAT</v>
          </cell>
          <cell r="C710" t="str">
            <v>MENTOK</v>
          </cell>
          <cell r="D710" t="str">
            <v>MENJELANG</v>
          </cell>
        </row>
        <row r="711">
          <cell r="B711" t="str">
            <v>BANGKA BARAT</v>
          </cell>
          <cell r="C711" t="str">
            <v>MENTOK</v>
          </cell>
          <cell r="D711" t="str">
            <v>MENJELANG</v>
          </cell>
        </row>
        <row r="712">
          <cell r="B712" t="str">
            <v>BANGKA BARAT</v>
          </cell>
          <cell r="C712" t="str">
            <v>MENTOK</v>
          </cell>
          <cell r="D712" t="str">
            <v>AIR PUTIH</v>
          </cell>
        </row>
        <row r="713">
          <cell r="B713" t="str">
            <v>BANGKA BARAT</v>
          </cell>
          <cell r="C713" t="str">
            <v>MENTOK</v>
          </cell>
          <cell r="D713" t="str">
            <v>AIR PUTIH</v>
          </cell>
        </row>
        <row r="714">
          <cell r="B714" t="str">
            <v>BANGKA BARAT</v>
          </cell>
          <cell r="C714" t="str">
            <v>MENTOK</v>
          </cell>
          <cell r="D714" t="str">
            <v>AIR PUTIH</v>
          </cell>
        </row>
        <row r="715">
          <cell r="B715" t="str">
            <v>BANGKA BARAT</v>
          </cell>
          <cell r="C715" t="str">
            <v>MENTOK</v>
          </cell>
          <cell r="D715" t="str">
            <v>AIR BELO</v>
          </cell>
        </row>
        <row r="716">
          <cell r="B716" t="str">
            <v>BANGKA BARAT</v>
          </cell>
          <cell r="C716" t="str">
            <v>MENTOK</v>
          </cell>
          <cell r="D716" t="str">
            <v>AIR BELO</v>
          </cell>
        </row>
        <row r="717">
          <cell r="B717" t="str">
            <v>BANGKA BARAT</v>
          </cell>
          <cell r="C717" t="str">
            <v>MENTOK</v>
          </cell>
          <cell r="D717" t="str">
            <v>BELO LAUT</v>
          </cell>
        </row>
        <row r="718">
          <cell r="B718" t="str">
            <v>BANGKA BARAT</v>
          </cell>
          <cell r="C718" t="str">
            <v>MENTOK</v>
          </cell>
          <cell r="D718" t="str">
            <v>BELO LAUT</v>
          </cell>
        </row>
        <row r="719">
          <cell r="B719" t="str">
            <v>BANGKA BARAT</v>
          </cell>
          <cell r="C719" t="str">
            <v>MENTOK</v>
          </cell>
          <cell r="D719" t="str">
            <v>BELO LAUT</v>
          </cell>
        </row>
        <row r="720">
          <cell r="B720" t="str">
            <v>BANGKA BARAT</v>
          </cell>
          <cell r="C720" t="str">
            <v>MENTOK</v>
          </cell>
          <cell r="D720" t="str">
            <v>BELO LAUT</v>
          </cell>
        </row>
        <row r="721">
          <cell r="B721" t="str">
            <v>BANGKA BARAT</v>
          </cell>
          <cell r="C721" t="str">
            <v>MENTOK</v>
          </cell>
          <cell r="D721" t="str">
            <v>AIR LIMAU</v>
          </cell>
        </row>
        <row r="722">
          <cell r="B722" t="str">
            <v>BANGKA BARAT</v>
          </cell>
          <cell r="C722" t="str">
            <v>SIMPANG TERITIP</v>
          </cell>
          <cell r="D722" t="str">
            <v>PELANGAS</v>
          </cell>
        </row>
        <row r="723">
          <cell r="B723" t="str">
            <v>BANGKA BARAT</v>
          </cell>
          <cell r="C723" t="str">
            <v>SIMPANG TERITIP</v>
          </cell>
          <cell r="D723" t="str">
            <v>PELANGAS</v>
          </cell>
        </row>
        <row r="724">
          <cell r="B724" t="str">
            <v>BANGKA BARAT</v>
          </cell>
          <cell r="C724" t="str">
            <v>SIMPANG TERITIP</v>
          </cell>
          <cell r="D724" t="str">
            <v>PELANGAS</v>
          </cell>
        </row>
        <row r="725">
          <cell r="B725" t="str">
            <v>BANGKA BARAT</v>
          </cell>
          <cell r="C725" t="str">
            <v>SIMPANG TERITIP</v>
          </cell>
          <cell r="D725" t="str">
            <v>KUNDI</v>
          </cell>
        </row>
        <row r="726">
          <cell r="B726" t="str">
            <v>BANGKA BARAT</v>
          </cell>
          <cell r="C726" t="str">
            <v>SIMPANG TERITIP</v>
          </cell>
          <cell r="D726" t="str">
            <v>KUNDI</v>
          </cell>
        </row>
        <row r="727">
          <cell r="B727" t="str">
            <v>BANGKA BARAT</v>
          </cell>
          <cell r="C727" t="str">
            <v>SIMPANG TERITIP</v>
          </cell>
          <cell r="D727" t="str">
            <v>KUNDI</v>
          </cell>
        </row>
        <row r="728">
          <cell r="B728" t="str">
            <v>BANGKA BARAT</v>
          </cell>
          <cell r="C728" t="str">
            <v>SIMPANG TERITIP</v>
          </cell>
          <cell r="D728" t="str">
            <v>MAYANG</v>
          </cell>
        </row>
        <row r="729">
          <cell r="B729" t="str">
            <v>BANGKA BARAT</v>
          </cell>
          <cell r="C729" t="str">
            <v>SIMPANG TERITIP</v>
          </cell>
          <cell r="D729" t="str">
            <v>MAYANG</v>
          </cell>
        </row>
        <row r="730">
          <cell r="B730" t="str">
            <v>BANGKA BARAT</v>
          </cell>
          <cell r="C730" t="str">
            <v>SIMPANG TERITIP</v>
          </cell>
          <cell r="D730" t="str">
            <v>MAYANG</v>
          </cell>
        </row>
        <row r="731">
          <cell r="B731" t="str">
            <v>BANGKA BARAT</v>
          </cell>
          <cell r="C731" t="str">
            <v>SIMPANG TERITIP</v>
          </cell>
          <cell r="D731" t="str">
            <v>PERADONG</v>
          </cell>
        </row>
        <row r="732">
          <cell r="B732" t="str">
            <v>BANGKA BARAT</v>
          </cell>
          <cell r="C732" t="str">
            <v>SIMPANG TERITIP</v>
          </cell>
          <cell r="D732" t="str">
            <v>PERADONG</v>
          </cell>
        </row>
        <row r="733">
          <cell r="B733" t="str">
            <v>BANGKA BARAT</v>
          </cell>
          <cell r="C733" t="str">
            <v>SIMPANG TERITIP</v>
          </cell>
          <cell r="D733" t="str">
            <v>AIR NYATOH</v>
          </cell>
        </row>
        <row r="734">
          <cell r="B734" t="str">
            <v>BANGKA BARAT</v>
          </cell>
          <cell r="C734" t="str">
            <v>SIMPANG TERITIP</v>
          </cell>
          <cell r="D734" t="str">
            <v>AIR NYATOH</v>
          </cell>
        </row>
        <row r="735">
          <cell r="B735" t="str">
            <v>BANGKA BARAT</v>
          </cell>
          <cell r="C735" t="str">
            <v>SIMPANG TERITIP</v>
          </cell>
          <cell r="D735" t="str">
            <v>AIR NYATOH</v>
          </cell>
        </row>
        <row r="736">
          <cell r="B736" t="str">
            <v>BANGKA BARAT</v>
          </cell>
          <cell r="C736" t="str">
            <v>SIMPANG TERITIP</v>
          </cell>
          <cell r="D736" t="str">
            <v>BERANG</v>
          </cell>
        </row>
        <row r="737">
          <cell r="B737" t="str">
            <v>BANGKA BARAT</v>
          </cell>
          <cell r="C737" t="str">
            <v>SIMPANG TERITIP</v>
          </cell>
          <cell r="D737" t="str">
            <v>BERANG</v>
          </cell>
        </row>
        <row r="738">
          <cell r="B738" t="str">
            <v>BANGKA BARAT</v>
          </cell>
          <cell r="C738" t="str">
            <v>SIMPANG TERITIP</v>
          </cell>
          <cell r="D738" t="str">
            <v>BERANG</v>
          </cell>
        </row>
        <row r="739">
          <cell r="B739" t="str">
            <v>BANGKA BARAT</v>
          </cell>
          <cell r="C739" t="str">
            <v>SIMPANG TERITIP</v>
          </cell>
          <cell r="D739" t="str">
            <v>RAMBAT</v>
          </cell>
        </row>
        <row r="740">
          <cell r="B740" t="str">
            <v>BANGKA BARAT</v>
          </cell>
          <cell r="C740" t="str">
            <v>SIMPANG TERITIP</v>
          </cell>
          <cell r="D740" t="str">
            <v>RAMBAT</v>
          </cell>
        </row>
        <row r="741">
          <cell r="B741" t="str">
            <v>BANGKA BARAT</v>
          </cell>
          <cell r="C741" t="str">
            <v>SIMPANG TERITIP</v>
          </cell>
          <cell r="D741" t="str">
            <v>SIMPANG GONG</v>
          </cell>
        </row>
        <row r="742">
          <cell r="B742" t="str">
            <v>BANGKA BARAT</v>
          </cell>
          <cell r="C742" t="str">
            <v>SIMPANG TERITIP</v>
          </cell>
          <cell r="D742" t="str">
            <v>SIMPANG GONG</v>
          </cell>
        </row>
        <row r="743">
          <cell r="B743" t="str">
            <v>BANGKA BARAT</v>
          </cell>
          <cell r="C743" t="str">
            <v>SIMPANG TERITIP</v>
          </cell>
          <cell r="D743" t="str">
            <v>SIMPANG TIGA</v>
          </cell>
        </row>
        <row r="744">
          <cell r="B744" t="str">
            <v>BANGKA BARAT</v>
          </cell>
          <cell r="C744" t="str">
            <v>SIMPANG TERITIP</v>
          </cell>
          <cell r="D744" t="str">
            <v>SIMPANG TIGA</v>
          </cell>
        </row>
        <row r="745">
          <cell r="B745" t="str">
            <v>BANGKA BARAT</v>
          </cell>
          <cell r="C745" t="str">
            <v>SIMPANG TERITIP</v>
          </cell>
          <cell r="D745" t="str">
            <v>SIMPANG TIGA</v>
          </cell>
        </row>
        <row r="746">
          <cell r="B746" t="str">
            <v>BANGKA BARAT</v>
          </cell>
          <cell r="C746" t="str">
            <v>SIMPANG TERITIP</v>
          </cell>
          <cell r="D746" t="str">
            <v>IBUL</v>
          </cell>
        </row>
        <row r="747">
          <cell r="B747" t="str">
            <v>BANGKA BARAT</v>
          </cell>
          <cell r="C747" t="str">
            <v>SIMPANG TERITIP</v>
          </cell>
          <cell r="D747" t="str">
            <v>IBUL</v>
          </cell>
        </row>
        <row r="748">
          <cell r="B748" t="str">
            <v>BANGKA BARAT</v>
          </cell>
          <cell r="C748" t="str">
            <v>SIMPANG TERITIP</v>
          </cell>
          <cell r="D748" t="str">
            <v>IBUL</v>
          </cell>
        </row>
        <row r="749">
          <cell r="B749" t="str">
            <v>BANGKA BARAT</v>
          </cell>
          <cell r="C749" t="str">
            <v>SIMPANG TERITIP</v>
          </cell>
          <cell r="D749" t="str">
            <v>PANGEK</v>
          </cell>
        </row>
        <row r="750">
          <cell r="B750" t="str">
            <v>BANGKA BARAT</v>
          </cell>
          <cell r="C750" t="str">
            <v>SIMPANG TERITIP</v>
          </cell>
          <cell r="D750" t="str">
            <v>PANGEK</v>
          </cell>
        </row>
        <row r="751">
          <cell r="B751" t="str">
            <v>BANGKA BARAT</v>
          </cell>
          <cell r="C751" t="str">
            <v>SIMPANG TERITIP</v>
          </cell>
          <cell r="D751" t="str">
            <v>BUKIT TERAK</v>
          </cell>
        </row>
        <row r="752">
          <cell r="B752" t="str">
            <v>BANGKA BARAT</v>
          </cell>
          <cell r="C752" t="str">
            <v>SIMPANG TERITIP</v>
          </cell>
          <cell r="D752" t="str">
            <v>BUKIT TERAK</v>
          </cell>
        </row>
        <row r="753">
          <cell r="B753" t="str">
            <v>BANGKA BARAT</v>
          </cell>
          <cell r="C753" t="str">
            <v>SIMPANG TERITIP</v>
          </cell>
          <cell r="D753" t="str">
            <v>BUKIT TERAK</v>
          </cell>
        </row>
        <row r="754">
          <cell r="B754" t="str">
            <v>BANGKA BARAT</v>
          </cell>
          <cell r="C754" t="str">
            <v>SIMPANG TERITIP</v>
          </cell>
          <cell r="D754" t="str">
            <v>AIR MENDUYUNG</v>
          </cell>
        </row>
        <row r="755">
          <cell r="B755" t="str">
            <v>BANGKA BARAT</v>
          </cell>
          <cell r="C755" t="str">
            <v>SIMPANG TERITIP</v>
          </cell>
          <cell r="D755" t="str">
            <v>AIR MENDUYUNG</v>
          </cell>
        </row>
        <row r="756">
          <cell r="B756" t="str">
            <v>BANGKA BARAT</v>
          </cell>
          <cell r="C756" t="str">
            <v>SIMPANG TERITIP</v>
          </cell>
          <cell r="D756" t="str">
            <v>AIR MENDUYUNG</v>
          </cell>
        </row>
        <row r="757">
          <cell r="B757" t="str">
            <v>BANGKA BARAT</v>
          </cell>
          <cell r="C757" t="str">
            <v>JEBUS</v>
          </cell>
          <cell r="D757" t="str">
            <v>JEBUS</v>
          </cell>
        </row>
        <row r="758">
          <cell r="B758" t="str">
            <v>NAMA KABUPATEN/KOTA</v>
          </cell>
          <cell r="C758" t="str">
            <v>NAMA KECAMATAN</v>
          </cell>
          <cell r="D758" t="str">
            <v>NAMA KELURAHAN</v>
          </cell>
        </row>
        <row r="763">
          <cell r="B763" t="str">
            <v>BANGKA BARAT</v>
          </cell>
          <cell r="C763" t="str">
            <v>JEBUS</v>
          </cell>
          <cell r="D763" t="str">
            <v>JEBUS</v>
          </cell>
        </row>
        <row r="764">
          <cell r="B764" t="str">
            <v>BANGKA BARAT</v>
          </cell>
          <cell r="C764" t="str">
            <v>JEBUS</v>
          </cell>
          <cell r="D764" t="str">
            <v>JEBUS</v>
          </cell>
        </row>
        <row r="765">
          <cell r="B765" t="str">
            <v>BANGKA BARAT</v>
          </cell>
          <cell r="C765" t="str">
            <v>JEBUS</v>
          </cell>
          <cell r="D765" t="str">
            <v>JEBUS</v>
          </cell>
        </row>
        <row r="766">
          <cell r="B766" t="str">
            <v>BANGKA BARAT</v>
          </cell>
          <cell r="C766" t="str">
            <v>JEBUS</v>
          </cell>
          <cell r="D766" t="str">
            <v>SUNGAI BULUH</v>
          </cell>
        </row>
        <row r="767">
          <cell r="B767" t="str">
            <v>BANGKA BARAT</v>
          </cell>
          <cell r="C767" t="str">
            <v>JEBUS</v>
          </cell>
          <cell r="D767" t="str">
            <v>SUNGAI BULUH</v>
          </cell>
        </row>
        <row r="768">
          <cell r="B768" t="str">
            <v>BANGKA BARAT</v>
          </cell>
          <cell r="C768" t="str">
            <v>JEBUS</v>
          </cell>
          <cell r="D768" t="str">
            <v>TUMBAK PETAR</v>
          </cell>
        </row>
        <row r="769">
          <cell r="B769" t="str">
            <v>BANGKA BARAT</v>
          </cell>
          <cell r="C769" t="str">
            <v>JEBUS</v>
          </cell>
          <cell r="D769" t="str">
            <v>TUMBAK PETAR</v>
          </cell>
        </row>
        <row r="770">
          <cell r="B770" t="str">
            <v>BANGKA BARAT</v>
          </cell>
          <cell r="C770" t="str">
            <v>JEBUS</v>
          </cell>
          <cell r="D770" t="str">
            <v>TUMBAK PETAR</v>
          </cell>
        </row>
        <row r="771">
          <cell r="B771" t="str">
            <v>BANGKA BARAT</v>
          </cell>
          <cell r="C771" t="str">
            <v>JEBUS</v>
          </cell>
          <cell r="D771" t="str">
            <v>LIMBUNG</v>
          </cell>
        </row>
        <row r="772">
          <cell r="B772" t="str">
            <v>BANGKA BARAT</v>
          </cell>
          <cell r="C772" t="str">
            <v>JEBUS</v>
          </cell>
          <cell r="D772" t="str">
            <v>RUKAM</v>
          </cell>
        </row>
        <row r="773">
          <cell r="B773" t="str">
            <v>BANGKA BARAT</v>
          </cell>
          <cell r="C773" t="str">
            <v>JEBUS</v>
          </cell>
          <cell r="D773" t="str">
            <v>RUKAM</v>
          </cell>
        </row>
        <row r="774">
          <cell r="B774" t="str">
            <v>BANGKA BARAT</v>
          </cell>
          <cell r="C774" t="str">
            <v>JEBUS</v>
          </cell>
          <cell r="D774" t="str">
            <v>RANGGI ASAM</v>
          </cell>
        </row>
        <row r="775">
          <cell r="B775" t="str">
            <v>BANGKA BARAT</v>
          </cell>
          <cell r="C775" t="str">
            <v>JEBUS</v>
          </cell>
          <cell r="D775" t="str">
            <v>RANGGI ASAM</v>
          </cell>
        </row>
        <row r="776">
          <cell r="B776" t="str">
            <v>BANGKA BARAT</v>
          </cell>
          <cell r="C776" t="str">
            <v>JEBUS</v>
          </cell>
          <cell r="D776" t="str">
            <v>RANGGI ASAM</v>
          </cell>
        </row>
        <row r="777">
          <cell r="B777" t="str">
            <v>BANGKA BARAT</v>
          </cell>
          <cell r="C777" t="str">
            <v>JEBUS</v>
          </cell>
          <cell r="D777" t="str">
            <v>KETAP</v>
          </cell>
        </row>
        <row r="778">
          <cell r="B778" t="str">
            <v>BANGKA BARAT</v>
          </cell>
          <cell r="C778" t="str">
            <v>JEBUS</v>
          </cell>
          <cell r="D778" t="str">
            <v>KETAP</v>
          </cell>
        </row>
        <row r="779">
          <cell r="B779" t="str">
            <v>BANGKA BARAT</v>
          </cell>
          <cell r="C779" t="str">
            <v>JEBUS</v>
          </cell>
          <cell r="D779" t="str">
            <v>MISLAK</v>
          </cell>
        </row>
        <row r="780">
          <cell r="B780" t="str">
            <v>BANGKA BARAT</v>
          </cell>
          <cell r="C780" t="str">
            <v>JEBUS</v>
          </cell>
          <cell r="D780" t="str">
            <v>MISLAK</v>
          </cell>
        </row>
        <row r="781">
          <cell r="B781" t="str">
            <v>BANGKA BARAT</v>
          </cell>
          <cell r="C781" t="str">
            <v>JEBUS</v>
          </cell>
          <cell r="D781" t="str">
            <v>MISLAK</v>
          </cell>
        </row>
        <row r="782">
          <cell r="B782" t="str">
            <v>BANGKA BARAT</v>
          </cell>
          <cell r="C782" t="str">
            <v>JEBUS</v>
          </cell>
          <cell r="D782" t="str">
            <v>PEBUAR</v>
          </cell>
        </row>
        <row r="783">
          <cell r="B783" t="str">
            <v>BANGKA BARAT</v>
          </cell>
          <cell r="C783" t="str">
            <v>JEBUS</v>
          </cell>
          <cell r="D783" t="str">
            <v>SINAR MANIK</v>
          </cell>
        </row>
        <row r="784">
          <cell r="B784" t="str">
            <v>BANGKA BARAT</v>
          </cell>
          <cell r="C784" t="str">
            <v>JEBUS</v>
          </cell>
          <cell r="D784" t="str">
            <v>SINAR MANIK</v>
          </cell>
        </row>
        <row r="785">
          <cell r="B785" t="str">
            <v>BANGKA BARAT</v>
          </cell>
          <cell r="C785" t="str">
            <v>JEBUS</v>
          </cell>
          <cell r="D785" t="str">
            <v>SINAR MANIK</v>
          </cell>
        </row>
        <row r="786">
          <cell r="B786" t="str">
            <v>BANGKA BARAT</v>
          </cell>
          <cell r="C786" t="str">
            <v>JEBUS</v>
          </cell>
          <cell r="D786" t="str">
            <v>AIR KUANG</v>
          </cell>
        </row>
        <row r="787">
          <cell r="B787" t="str">
            <v>BANGKA BARAT</v>
          </cell>
          <cell r="C787" t="str">
            <v>JEBUS</v>
          </cell>
          <cell r="D787" t="str">
            <v>AIR KUANG</v>
          </cell>
        </row>
        <row r="788">
          <cell r="B788" t="str">
            <v>BANGKA BARAT</v>
          </cell>
          <cell r="C788" t="str">
            <v>JEBUS</v>
          </cell>
          <cell r="D788" t="str">
            <v>AIR KUANG</v>
          </cell>
        </row>
        <row r="789">
          <cell r="B789" t="str">
            <v>BANGKA BARAT</v>
          </cell>
          <cell r="C789" t="str">
            <v>KELAPA</v>
          </cell>
          <cell r="D789" t="str">
            <v>KELAPA</v>
          </cell>
        </row>
        <row r="790">
          <cell r="B790" t="str">
            <v>BANGKA BARAT</v>
          </cell>
          <cell r="C790" t="str">
            <v>KELAPA</v>
          </cell>
          <cell r="D790" t="str">
            <v>KELAPA</v>
          </cell>
        </row>
        <row r="791">
          <cell r="B791" t="str">
            <v>BANGKA BARAT</v>
          </cell>
          <cell r="C791" t="str">
            <v>KELAPA</v>
          </cell>
          <cell r="D791" t="str">
            <v>KELAPA</v>
          </cell>
        </row>
        <row r="792">
          <cell r="B792" t="str">
            <v>BANGKA BARAT</v>
          </cell>
          <cell r="C792" t="str">
            <v>KELAPA</v>
          </cell>
          <cell r="D792" t="str">
            <v>KELAPA</v>
          </cell>
        </row>
        <row r="793">
          <cell r="B793" t="str">
            <v>BANGKA BARAT</v>
          </cell>
          <cell r="C793" t="str">
            <v>KELAPA</v>
          </cell>
          <cell r="D793" t="str">
            <v>KELAPA</v>
          </cell>
        </row>
        <row r="794">
          <cell r="B794" t="str">
            <v>BANGKA BARAT</v>
          </cell>
          <cell r="C794" t="str">
            <v>KELAPA</v>
          </cell>
          <cell r="D794" t="str">
            <v>MANCUNG</v>
          </cell>
        </row>
        <row r="795">
          <cell r="B795" t="str">
            <v>BANGKA BARAT</v>
          </cell>
          <cell r="C795" t="str">
            <v>KELAPA</v>
          </cell>
          <cell r="D795" t="str">
            <v>KAYU ARANG</v>
          </cell>
        </row>
        <row r="796">
          <cell r="B796" t="str">
            <v>BANGKA BARAT</v>
          </cell>
          <cell r="C796" t="str">
            <v>KELAPA</v>
          </cell>
          <cell r="D796" t="str">
            <v>KAYU ARANG</v>
          </cell>
        </row>
        <row r="797">
          <cell r="B797" t="str">
            <v>BANGKA BARAT</v>
          </cell>
          <cell r="C797" t="str">
            <v>KELAPA</v>
          </cell>
          <cell r="D797" t="str">
            <v>PUSUK</v>
          </cell>
        </row>
        <row r="798">
          <cell r="B798" t="str">
            <v>BANGKA BARAT</v>
          </cell>
          <cell r="C798" t="str">
            <v>KELAPA</v>
          </cell>
          <cell r="D798" t="str">
            <v>DENDANG</v>
          </cell>
        </row>
        <row r="799">
          <cell r="B799" t="str">
            <v>BANGKA BARAT</v>
          </cell>
          <cell r="C799" t="str">
            <v>KELAPA</v>
          </cell>
          <cell r="D799" t="str">
            <v>DENDANG</v>
          </cell>
        </row>
        <row r="800">
          <cell r="B800" t="str">
            <v>BANGKA BARAT</v>
          </cell>
          <cell r="C800" t="str">
            <v>KELAPA</v>
          </cell>
          <cell r="D800" t="str">
            <v>DENDANG</v>
          </cell>
        </row>
        <row r="801">
          <cell r="B801" t="str">
            <v>BANGKA BARAT</v>
          </cell>
          <cell r="C801" t="str">
            <v>KELAPA</v>
          </cell>
          <cell r="D801" t="str">
            <v>DENDANG</v>
          </cell>
        </row>
        <row r="802">
          <cell r="B802" t="str">
            <v>BANGKA BARAT</v>
          </cell>
          <cell r="C802" t="str">
            <v>KELAPA</v>
          </cell>
          <cell r="D802" t="str">
            <v>KACUNG</v>
          </cell>
        </row>
        <row r="803">
          <cell r="B803" t="str">
            <v>BANGKA BARAT</v>
          </cell>
          <cell r="C803" t="str">
            <v>KELAPA</v>
          </cell>
          <cell r="D803" t="str">
            <v>KACUNG</v>
          </cell>
        </row>
        <row r="804">
          <cell r="B804" t="str">
            <v>BANGKA BARAT</v>
          </cell>
          <cell r="C804" t="str">
            <v>KELAPA</v>
          </cell>
          <cell r="D804" t="str">
            <v>SINAR SARI</v>
          </cell>
        </row>
        <row r="805">
          <cell r="B805" t="str">
            <v>BANGKA BARAT</v>
          </cell>
          <cell r="C805" t="str">
            <v>KELAPA</v>
          </cell>
          <cell r="D805" t="str">
            <v>BERUAS</v>
          </cell>
        </row>
        <row r="806">
          <cell r="B806" t="str">
            <v>BANGKA BARAT</v>
          </cell>
          <cell r="C806" t="str">
            <v>KELAPA</v>
          </cell>
          <cell r="D806" t="str">
            <v>TEBING</v>
          </cell>
        </row>
        <row r="807">
          <cell r="B807" t="str">
            <v>BANGKA BARAT</v>
          </cell>
          <cell r="C807" t="str">
            <v>KELAPA</v>
          </cell>
          <cell r="D807" t="str">
            <v>TERENTANG</v>
          </cell>
        </row>
        <row r="808">
          <cell r="B808" t="str">
            <v>BANGKA BARAT</v>
          </cell>
          <cell r="C808" t="str">
            <v>KELAPA</v>
          </cell>
          <cell r="D808" t="str">
            <v>TERENTANG</v>
          </cell>
        </row>
        <row r="809">
          <cell r="B809" t="str">
            <v>BANGKA BARAT</v>
          </cell>
          <cell r="C809" t="str">
            <v>KELAPA</v>
          </cell>
          <cell r="D809" t="str">
            <v>TUIK</v>
          </cell>
        </row>
        <row r="810">
          <cell r="B810" t="str">
            <v>BANGKA BARAT</v>
          </cell>
          <cell r="C810" t="str">
            <v>KELAPA</v>
          </cell>
          <cell r="D810" t="str">
            <v>TUGANG</v>
          </cell>
        </row>
        <row r="811">
          <cell r="B811" t="str">
            <v>BANGKA BARAT</v>
          </cell>
          <cell r="C811" t="str">
            <v>KELAPA</v>
          </cell>
          <cell r="D811" t="str">
            <v>TUGANG</v>
          </cell>
        </row>
        <row r="812">
          <cell r="B812" t="str">
            <v>BANGKA BARAT</v>
          </cell>
          <cell r="C812" t="str">
            <v>KELAPA</v>
          </cell>
          <cell r="D812" t="str">
            <v>TUGANG</v>
          </cell>
        </row>
        <row r="813">
          <cell r="B813" t="str">
            <v>BANGKA BARAT</v>
          </cell>
          <cell r="C813" t="str">
            <v>KELAPA</v>
          </cell>
          <cell r="D813" t="str">
            <v>AIR BULIN</v>
          </cell>
        </row>
        <row r="814">
          <cell r="B814" t="str">
            <v>BANGKA BARAT</v>
          </cell>
          <cell r="C814" t="str">
            <v>KELAPA</v>
          </cell>
          <cell r="D814" t="str">
            <v>AIR BULIN</v>
          </cell>
        </row>
        <row r="815">
          <cell r="B815" t="str">
            <v>BANGKA BARAT</v>
          </cell>
          <cell r="C815" t="str">
            <v>KELAPA</v>
          </cell>
          <cell r="D815" t="str">
            <v>AIR BULIN</v>
          </cell>
        </row>
        <row r="816">
          <cell r="B816" t="str">
            <v>BANGKA BARAT</v>
          </cell>
          <cell r="C816" t="str">
            <v>KELAPA</v>
          </cell>
          <cell r="D816" t="str">
            <v>PANGKAL BERAS</v>
          </cell>
        </row>
        <row r="817">
          <cell r="B817" t="str">
            <v>BANGKA BARAT</v>
          </cell>
          <cell r="C817" t="str">
            <v>KELAPA</v>
          </cell>
          <cell r="D817" t="str">
            <v>PANGKAL BERAS</v>
          </cell>
        </row>
        <row r="818">
          <cell r="B818" t="str">
            <v>BANGKA BARAT</v>
          </cell>
          <cell r="C818" t="str">
            <v>KELAPA</v>
          </cell>
          <cell r="D818" t="str">
            <v>PANGKAL BERAS</v>
          </cell>
        </row>
        <row r="819">
          <cell r="B819" t="str">
            <v>BANGKA BARAT</v>
          </cell>
          <cell r="C819" t="str">
            <v>TEMPILANG</v>
          </cell>
          <cell r="D819" t="str">
            <v>TEMPILANG</v>
          </cell>
        </row>
        <row r="820">
          <cell r="B820" t="str">
            <v>BANGKA BARAT</v>
          </cell>
          <cell r="C820" t="str">
            <v>TEMPILANG</v>
          </cell>
          <cell r="D820" t="str">
            <v>TEMPILANG</v>
          </cell>
        </row>
        <row r="821">
          <cell r="B821" t="str">
            <v>BANGKA BARAT</v>
          </cell>
          <cell r="C821" t="str">
            <v>TEMPILANG</v>
          </cell>
          <cell r="D821" t="str">
            <v>TANJUNG NIUR</v>
          </cell>
        </row>
        <row r="822">
          <cell r="B822" t="str">
            <v>BANGKA BARAT</v>
          </cell>
          <cell r="C822" t="str">
            <v>TEMPILANG</v>
          </cell>
          <cell r="D822" t="str">
            <v>TANJUNG NIUR</v>
          </cell>
        </row>
        <row r="823">
          <cell r="B823" t="str">
            <v>BANGKA BARAT</v>
          </cell>
          <cell r="C823" t="str">
            <v>TEMPILANG</v>
          </cell>
          <cell r="D823" t="str">
            <v>SANGKU</v>
          </cell>
        </row>
        <row r="824">
          <cell r="B824" t="str">
            <v>BANGKA BARAT</v>
          </cell>
          <cell r="C824" t="str">
            <v>TEMPILANG</v>
          </cell>
          <cell r="D824" t="str">
            <v>SANGKU</v>
          </cell>
        </row>
        <row r="825">
          <cell r="B825" t="str">
            <v>BANGKA BARAT</v>
          </cell>
          <cell r="C825" t="str">
            <v>TEMPILANG</v>
          </cell>
          <cell r="D825" t="str">
            <v>BUYAN KELUMBI</v>
          </cell>
        </row>
        <row r="826">
          <cell r="B826" t="str">
            <v>BANGKA BARAT</v>
          </cell>
          <cell r="C826" t="str">
            <v>TEMPILANG</v>
          </cell>
          <cell r="D826" t="str">
            <v>BUYAN KELUMBI</v>
          </cell>
        </row>
        <row r="827">
          <cell r="B827" t="str">
            <v>NAMA KABUPATEN/KOTA</v>
          </cell>
          <cell r="C827" t="str">
            <v>NAMA KECAMATAN</v>
          </cell>
          <cell r="D827" t="str">
            <v>NAMA KELURAHAN</v>
          </cell>
        </row>
        <row r="832">
          <cell r="B832" t="str">
            <v>BANGKA BARAT</v>
          </cell>
          <cell r="C832" t="str">
            <v>TEMPILANG</v>
          </cell>
          <cell r="D832" t="str">
            <v>PENYAMPAK</v>
          </cell>
        </row>
        <row r="833">
          <cell r="B833" t="str">
            <v>BANGKA BARAT</v>
          </cell>
          <cell r="C833" t="str">
            <v>TEMPILANG</v>
          </cell>
          <cell r="D833" t="str">
            <v>PENYAMPAK</v>
          </cell>
        </row>
        <row r="834">
          <cell r="B834" t="str">
            <v>BANGKA BARAT</v>
          </cell>
          <cell r="C834" t="str">
            <v>TEMPILANG</v>
          </cell>
          <cell r="D834" t="str">
            <v>BENTENG KOTA</v>
          </cell>
        </row>
        <row r="835">
          <cell r="B835" t="str">
            <v>BANGKA BARAT</v>
          </cell>
          <cell r="C835" t="str">
            <v>TEMPILANG</v>
          </cell>
          <cell r="D835" t="str">
            <v>BENTENG KOTA</v>
          </cell>
        </row>
        <row r="836">
          <cell r="B836" t="str">
            <v>BANGKA BARAT</v>
          </cell>
          <cell r="C836" t="str">
            <v>TEMPILANG</v>
          </cell>
          <cell r="D836" t="str">
            <v>AIR LINTANG</v>
          </cell>
        </row>
        <row r="837">
          <cell r="B837" t="str">
            <v>BANGKA BARAT</v>
          </cell>
          <cell r="C837" t="str">
            <v>TEMPILANG</v>
          </cell>
          <cell r="D837" t="str">
            <v>AIR LINTANG</v>
          </cell>
        </row>
        <row r="838">
          <cell r="B838" t="str">
            <v>BANGKA BARAT</v>
          </cell>
          <cell r="C838" t="str">
            <v>TEMPILANG</v>
          </cell>
          <cell r="D838" t="str">
            <v>SINAR SURYA</v>
          </cell>
        </row>
        <row r="839">
          <cell r="B839" t="str">
            <v>BANGKA BARAT</v>
          </cell>
          <cell r="C839" t="str">
            <v>TEMPILANG</v>
          </cell>
          <cell r="D839" t="str">
            <v>SINAR SURYA</v>
          </cell>
        </row>
        <row r="840">
          <cell r="B840" t="str">
            <v>BANGKA BARAT</v>
          </cell>
          <cell r="C840" t="str">
            <v>TEMPILANG</v>
          </cell>
          <cell r="D840" t="str">
            <v>SIMPANG YUL</v>
          </cell>
        </row>
        <row r="841">
          <cell r="B841" t="str">
            <v>BANGKA BARAT</v>
          </cell>
          <cell r="C841" t="str">
            <v>TEMPILANG</v>
          </cell>
          <cell r="D841" t="str">
            <v>SIMPANG YUL</v>
          </cell>
        </row>
        <row r="842">
          <cell r="B842" t="str">
            <v>BANGKA BARAT</v>
          </cell>
          <cell r="C842" t="str">
            <v>PARITTIGA</v>
          </cell>
          <cell r="D842" t="str">
            <v>SEKAR BIRU</v>
          </cell>
        </row>
        <row r="843">
          <cell r="B843" t="str">
            <v>BANGKA BARAT</v>
          </cell>
          <cell r="C843" t="str">
            <v>PARITTIGA</v>
          </cell>
          <cell r="D843" t="str">
            <v>SEKAR BIRU</v>
          </cell>
        </row>
        <row r="844">
          <cell r="B844" t="str">
            <v>BANGKA BARAT</v>
          </cell>
          <cell r="C844" t="str">
            <v>PARITTIGA</v>
          </cell>
          <cell r="D844" t="str">
            <v>TELAK</v>
          </cell>
        </row>
        <row r="845">
          <cell r="B845" t="str">
            <v>BANGKA BARAT</v>
          </cell>
          <cell r="C845" t="str">
            <v>PARITTIGA</v>
          </cell>
          <cell r="D845" t="str">
            <v>CUPAT</v>
          </cell>
        </row>
        <row r="846">
          <cell r="B846" t="str">
            <v>BANGKA BARAT</v>
          </cell>
          <cell r="C846" t="str">
            <v>PARITTIGA</v>
          </cell>
          <cell r="D846" t="str">
            <v>CUPAT</v>
          </cell>
        </row>
        <row r="847">
          <cell r="B847" t="str">
            <v>BANGKA BARAT</v>
          </cell>
          <cell r="C847" t="str">
            <v>PARITTIGA</v>
          </cell>
          <cell r="D847" t="str">
            <v>CUPAT</v>
          </cell>
        </row>
        <row r="848">
          <cell r="B848" t="str">
            <v>BANGKA BARAT</v>
          </cell>
          <cell r="C848" t="str">
            <v>PARITTIGA</v>
          </cell>
          <cell r="D848" t="str">
            <v>BAKIT</v>
          </cell>
        </row>
        <row r="849">
          <cell r="B849" t="str">
            <v>BANGKA BARAT</v>
          </cell>
          <cell r="C849" t="str">
            <v>PARITTIGA</v>
          </cell>
          <cell r="D849" t="str">
            <v>PUPUT</v>
          </cell>
        </row>
        <row r="850">
          <cell r="B850" t="str">
            <v>BANGKA BARAT</v>
          </cell>
          <cell r="C850" t="str">
            <v>PARITTIGA</v>
          </cell>
          <cell r="D850" t="str">
            <v>PUPUT</v>
          </cell>
        </row>
        <row r="851">
          <cell r="B851" t="str">
            <v>BANGKA BARAT</v>
          </cell>
          <cell r="C851" t="str">
            <v>PARITTIGA</v>
          </cell>
          <cell r="D851" t="str">
            <v>AIR GANTANG</v>
          </cell>
        </row>
        <row r="852">
          <cell r="B852" t="str">
            <v>BANGKA BARAT</v>
          </cell>
          <cell r="C852" t="str">
            <v>PARITTIGA</v>
          </cell>
          <cell r="D852" t="str">
            <v>AIR GANTANG</v>
          </cell>
        </row>
        <row r="853">
          <cell r="B853" t="str">
            <v>BANGKA BARAT</v>
          </cell>
          <cell r="C853" t="str">
            <v>PARITTIGA</v>
          </cell>
          <cell r="D853" t="str">
            <v>AIR GANTANG</v>
          </cell>
        </row>
        <row r="854">
          <cell r="B854" t="str">
            <v>BANGKA BARAT</v>
          </cell>
          <cell r="C854" t="str">
            <v>PARITTIGA</v>
          </cell>
          <cell r="D854" t="str">
            <v>KELABAT</v>
          </cell>
        </row>
        <row r="855">
          <cell r="B855" t="str">
            <v>BANGKA BARAT</v>
          </cell>
          <cell r="C855" t="str">
            <v>PARITTIGA</v>
          </cell>
          <cell r="D855" t="str">
            <v>KELABAT</v>
          </cell>
        </row>
        <row r="856">
          <cell r="B856" t="str">
            <v>BANGKA BARAT</v>
          </cell>
          <cell r="C856" t="str">
            <v>PARITTIGA</v>
          </cell>
          <cell r="D856" t="str">
            <v>KELABAT</v>
          </cell>
        </row>
        <row r="857">
          <cell r="B857" t="str">
            <v>BANGKA BARAT</v>
          </cell>
          <cell r="C857" t="str">
            <v>PARITTIGA</v>
          </cell>
          <cell r="D857" t="str">
            <v>KAPIT</v>
          </cell>
        </row>
        <row r="858">
          <cell r="B858" t="str">
            <v>BANGKA BARAT</v>
          </cell>
          <cell r="C858" t="str">
            <v>PARITTIGA</v>
          </cell>
          <cell r="D858" t="str">
            <v>SEMULUT</v>
          </cell>
        </row>
        <row r="859">
          <cell r="B859" t="str">
            <v>BANGKA BARAT</v>
          </cell>
          <cell r="C859" t="str">
            <v>PARITTIGA</v>
          </cell>
          <cell r="D859" t="str">
            <v>SEMULUT</v>
          </cell>
        </row>
        <row r="860">
          <cell r="B860" t="str">
            <v>BANGKA BARAT</v>
          </cell>
          <cell r="C860" t="str">
            <v>PARITTIGA</v>
          </cell>
          <cell r="D860" t="str">
            <v>TELUK LIMAU</v>
          </cell>
        </row>
        <row r="861">
          <cell r="B861" t="str">
            <v>BANGKA BARAT</v>
          </cell>
          <cell r="C861" t="str">
            <v>PARITTIGA</v>
          </cell>
          <cell r="D861" t="str">
            <v>TELUK LIMAU</v>
          </cell>
        </row>
        <row r="862">
          <cell r="B862" t="str">
            <v>BELITUNG TIMUR</v>
          </cell>
          <cell r="C862" t="str">
            <v>MANGGAR</v>
          </cell>
          <cell r="D862" t="str">
            <v>LALANG JAYA</v>
          </cell>
        </row>
        <row r="863">
          <cell r="B863" t="str">
            <v>BELITUNG TIMUR</v>
          </cell>
          <cell r="C863" t="str">
            <v>MANGGAR</v>
          </cell>
          <cell r="D863" t="str">
            <v>LALANG JAYA</v>
          </cell>
        </row>
        <row r="864">
          <cell r="B864" t="str">
            <v>BELITUNG TIMUR</v>
          </cell>
          <cell r="C864" t="str">
            <v>MANGGAR</v>
          </cell>
          <cell r="D864" t="str">
            <v>LALANG JAYA</v>
          </cell>
        </row>
        <row r="865">
          <cell r="B865" t="str">
            <v>BELITUNG TIMUR</v>
          </cell>
          <cell r="C865" t="str">
            <v>MANGGAR</v>
          </cell>
          <cell r="D865" t="str">
            <v>KURNIA JAYA</v>
          </cell>
        </row>
        <row r="866">
          <cell r="B866" t="str">
            <v>BELITUNG TIMUR</v>
          </cell>
          <cell r="C866" t="str">
            <v>MANGGAR</v>
          </cell>
          <cell r="D866" t="str">
            <v>KURNIA JAYA</v>
          </cell>
        </row>
        <row r="867">
          <cell r="B867" t="str">
            <v>BELITUNG TIMUR</v>
          </cell>
          <cell r="C867" t="str">
            <v>MANGGAR</v>
          </cell>
          <cell r="D867" t="str">
            <v>KURNIA JAYA</v>
          </cell>
        </row>
        <row r="868">
          <cell r="B868" t="str">
            <v>BELITUNG TIMUR</v>
          </cell>
          <cell r="C868" t="str">
            <v>MANGGAR</v>
          </cell>
          <cell r="D868" t="str">
            <v>PADANG</v>
          </cell>
        </row>
        <row r="869">
          <cell r="B869" t="str">
            <v>BELITUNG TIMUR</v>
          </cell>
          <cell r="C869" t="str">
            <v>MANGGAR</v>
          </cell>
          <cell r="D869" t="str">
            <v>PADANG</v>
          </cell>
        </row>
        <row r="870">
          <cell r="B870" t="str">
            <v>BELITUNG TIMUR</v>
          </cell>
          <cell r="C870" t="str">
            <v>MANGGAR</v>
          </cell>
          <cell r="D870" t="str">
            <v>PADANG</v>
          </cell>
        </row>
        <row r="871">
          <cell r="B871" t="str">
            <v>BELITUNG TIMUR</v>
          </cell>
          <cell r="C871" t="str">
            <v>MANGGAR</v>
          </cell>
          <cell r="D871" t="str">
            <v>PADANG</v>
          </cell>
        </row>
        <row r="872">
          <cell r="B872" t="str">
            <v>BELITUNG TIMUR</v>
          </cell>
          <cell r="C872" t="str">
            <v>MANGGAR</v>
          </cell>
          <cell r="D872" t="str">
            <v>KELUBI</v>
          </cell>
        </row>
        <row r="873">
          <cell r="B873" t="str">
            <v>BELITUNG TIMUR</v>
          </cell>
          <cell r="C873" t="str">
            <v>MANGGAR</v>
          </cell>
          <cell r="D873" t="str">
            <v>KELUBI</v>
          </cell>
        </row>
        <row r="874">
          <cell r="B874" t="str">
            <v>BELITUNG TIMUR</v>
          </cell>
          <cell r="C874" t="str">
            <v>MANGGAR</v>
          </cell>
          <cell r="D874" t="str">
            <v>KELUBI</v>
          </cell>
        </row>
        <row r="875">
          <cell r="B875" t="str">
            <v>BELITUNG TIMUR</v>
          </cell>
          <cell r="C875" t="str">
            <v>MANGGAR</v>
          </cell>
          <cell r="D875" t="str">
            <v>LALANG</v>
          </cell>
        </row>
        <row r="876">
          <cell r="B876" t="str">
            <v>BELITUNG TIMUR</v>
          </cell>
          <cell r="C876" t="str">
            <v>MANGGAR</v>
          </cell>
          <cell r="D876" t="str">
            <v>LALANG</v>
          </cell>
        </row>
        <row r="877">
          <cell r="B877" t="str">
            <v>BELITUNG TIMUR</v>
          </cell>
          <cell r="C877" t="str">
            <v>MANGGAR</v>
          </cell>
          <cell r="D877" t="str">
            <v>LALANG</v>
          </cell>
        </row>
        <row r="878">
          <cell r="B878" t="str">
            <v>BELITUNG TIMUR</v>
          </cell>
          <cell r="C878" t="str">
            <v>MANGGAR</v>
          </cell>
          <cell r="D878" t="str">
            <v>BARU</v>
          </cell>
        </row>
        <row r="879">
          <cell r="B879" t="str">
            <v>BELITUNG TIMUR</v>
          </cell>
          <cell r="C879" t="str">
            <v>MANGGAR</v>
          </cell>
          <cell r="D879" t="str">
            <v>BARU</v>
          </cell>
        </row>
        <row r="880">
          <cell r="B880" t="str">
            <v>BELITUNG TIMUR</v>
          </cell>
          <cell r="C880" t="str">
            <v>MANGGAR</v>
          </cell>
          <cell r="D880" t="str">
            <v>BARU</v>
          </cell>
        </row>
        <row r="881">
          <cell r="B881" t="str">
            <v>BELITUNG TIMUR</v>
          </cell>
          <cell r="C881" t="str">
            <v>MANGGAR</v>
          </cell>
          <cell r="D881" t="str">
            <v>BARU</v>
          </cell>
        </row>
        <row r="882">
          <cell r="B882" t="str">
            <v>BELITUNG TIMUR</v>
          </cell>
          <cell r="C882" t="str">
            <v>MANGGAR</v>
          </cell>
          <cell r="D882" t="str">
            <v>BARU</v>
          </cell>
        </row>
        <row r="883">
          <cell r="B883" t="str">
            <v>BELITUNG TIMUR</v>
          </cell>
          <cell r="C883" t="str">
            <v>MANGGAR</v>
          </cell>
          <cell r="D883" t="str">
            <v>BARU</v>
          </cell>
        </row>
        <row r="884">
          <cell r="B884" t="str">
            <v>BELITUNG TIMUR</v>
          </cell>
          <cell r="C884" t="str">
            <v>MANGGAR</v>
          </cell>
          <cell r="D884" t="str">
            <v>BUKU LIMAU</v>
          </cell>
        </row>
        <row r="885">
          <cell r="B885" t="str">
            <v>BELITUNG TIMUR</v>
          </cell>
          <cell r="C885" t="str">
            <v>MANGGAR</v>
          </cell>
          <cell r="D885" t="str">
            <v>BUKU LIMAU</v>
          </cell>
        </row>
        <row r="886">
          <cell r="B886" t="str">
            <v>BELITUNG TIMUR</v>
          </cell>
          <cell r="C886" t="str">
            <v>MANGGAR</v>
          </cell>
          <cell r="D886" t="str">
            <v>MEKAR JAYA</v>
          </cell>
        </row>
        <row r="887">
          <cell r="B887" t="str">
            <v>BELITUNG TIMUR</v>
          </cell>
          <cell r="C887" t="str">
            <v>MANGGAR</v>
          </cell>
          <cell r="D887" t="str">
            <v>MEKAR JAYA</v>
          </cell>
        </row>
        <row r="888">
          <cell r="B888" t="str">
            <v>BELITUNG TIMUR</v>
          </cell>
          <cell r="C888" t="str">
            <v>MANGGAR</v>
          </cell>
          <cell r="D888" t="str">
            <v>MEKAR JAYA</v>
          </cell>
        </row>
        <row r="889">
          <cell r="B889" t="str">
            <v>BELITUNG TIMUR</v>
          </cell>
          <cell r="C889" t="str">
            <v>MANGGAR</v>
          </cell>
          <cell r="D889" t="str">
            <v>BENTAIAN JAYA</v>
          </cell>
        </row>
        <row r="890">
          <cell r="B890" t="str">
            <v>BELITUNG TIMUR</v>
          </cell>
          <cell r="C890" t="str">
            <v>MANGGAR</v>
          </cell>
          <cell r="D890" t="str">
            <v>BENTAIAN JAYA</v>
          </cell>
        </row>
        <row r="891">
          <cell r="B891" t="str">
            <v>BELITUNG TIMUR</v>
          </cell>
          <cell r="C891" t="str">
            <v>GANTUNG</v>
          </cell>
          <cell r="D891" t="str">
            <v>GANTUNG</v>
          </cell>
        </row>
        <row r="892">
          <cell r="B892" t="str">
            <v>BELITUNG TIMUR</v>
          </cell>
          <cell r="C892" t="str">
            <v>GANTUNG</v>
          </cell>
          <cell r="D892" t="str">
            <v>GANTUNG</v>
          </cell>
        </row>
        <row r="893">
          <cell r="B893" t="str">
            <v>BELITUNG TIMUR</v>
          </cell>
          <cell r="C893" t="str">
            <v>GANTUNG</v>
          </cell>
          <cell r="D893" t="str">
            <v>GANTUNG</v>
          </cell>
        </row>
        <row r="894">
          <cell r="B894" t="str">
            <v>BELITUNG TIMUR</v>
          </cell>
          <cell r="C894" t="str">
            <v>GANTUNG</v>
          </cell>
          <cell r="D894" t="str">
            <v>SELINGSING</v>
          </cell>
        </row>
        <row r="895">
          <cell r="B895" t="str">
            <v>BELITUNG TIMUR</v>
          </cell>
          <cell r="C895" t="str">
            <v>GANTUNG</v>
          </cell>
          <cell r="D895" t="str">
            <v>SELINGSING</v>
          </cell>
        </row>
        <row r="896">
          <cell r="B896" t="str">
            <v>NAMA KABUPATEN/KOTA</v>
          </cell>
          <cell r="C896" t="str">
            <v>NAMA KECAMATAN</v>
          </cell>
          <cell r="D896" t="str">
            <v>NAMA KELURAHAN</v>
          </cell>
        </row>
        <row r="901">
          <cell r="B901" t="str">
            <v>BELITUNG TIMUR</v>
          </cell>
          <cell r="C901" t="str">
            <v>GANTUNG</v>
          </cell>
          <cell r="D901" t="str">
            <v>SELINGSING</v>
          </cell>
        </row>
        <row r="902">
          <cell r="B902" t="str">
            <v>BELITUNG TIMUR</v>
          </cell>
          <cell r="C902" t="str">
            <v>GANTUNG</v>
          </cell>
          <cell r="D902" t="str">
            <v>SELINGSING</v>
          </cell>
        </row>
        <row r="903">
          <cell r="B903" t="str">
            <v>BELITUNG TIMUR</v>
          </cell>
          <cell r="C903" t="str">
            <v>GANTUNG</v>
          </cell>
          <cell r="D903" t="str">
            <v>JANGKAR ASAM</v>
          </cell>
        </row>
        <row r="904">
          <cell r="B904" t="str">
            <v>BELITUNG TIMUR</v>
          </cell>
          <cell r="C904" t="str">
            <v>GANTUNG</v>
          </cell>
          <cell r="D904" t="str">
            <v>JANGKAR ASAM</v>
          </cell>
        </row>
        <row r="905">
          <cell r="B905" t="str">
            <v>BELITUNG TIMUR</v>
          </cell>
          <cell r="C905" t="str">
            <v>GANTUNG</v>
          </cell>
          <cell r="D905" t="str">
            <v>LILANGAN</v>
          </cell>
        </row>
        <row r="906">
          <cell r="B906" t="str">
            <v>BELITUNG TIMUR</v>
          </cell>
          <cell r="C906" t="str">
            <v>GANTUNG</v>
          </cell>
          <cell r="D906" t="str">
            <v>LILANGAN</v>
          </cell>
        </row>
        <row r="907">
          <cell r="B907" t="str">
            <v>BELITUNG TIMUR</v>
          </cell>
          <cell r="C907" t="str">
            <v>GANTUNG</v>
          </cell>
          <cell r="D907" t="str">
            <v>LENGGANG</v>
          </cell>
        </row>
        <row r="908">
          <cell r="B908" t="str">
            <v>BELITUNG TIMUR</v>
          </cell>
          <cell r="C908" t="str">
            <v>GANTUNG</v>
          </cell>
          <cell r="D908" t="str">
            <v>LENGGANG</v>
          </cell>
        </row>
        <row r="909">
          <cell r="B909" t="str">
            <v>BELITUNG TIMUR</v>
          </cell>
          <cell r="C909" t="str">
            <v>GANTUNG</v>
          </cell>
          <cell r="D909" t="str">
            <v>LENGGANG</v>
          </cell>
        </row>
        <row r="910">
          <cell r="B910" t="str">
            <v>BELITUNG TIMUR</v>
          </cell>
          <cell r="C910" t="str">
            <v>GANTUNG</v>
          </cell>
          <cell r="D910" t="str">
            <v>BATU PENYU</v>
          </cell>
        </row>
        <row r="911">
          <cell r="B911" t="str">
            <v>BELITUNG TIMUR</v>
          </cell>
          <cell r="C911" t="str">
            <v>GANTUNG</v>
          </cell>
          <cell r="D911" t="str">
            <v>BATU PENYU</v>
          </cell>
        </row>
        <row r="912">
          <cell r="B912" t="str">
            <v>BELITUNG TIMUR</v>
          </cell>
          <cell r="C912" t="str">
            <v>GANTUNG</v>
          </cell>
          <cell r="D912" t="str">
            <v>BATU PENYU</v>
          </cell>
        </row>
        <row r="913">
          <cell r="B913" t="str">
            <v>BELITUNG TIMUR</v>
          </cell>
          <cell r="C913" t="str">
            <v>GANTUNG</v>
          </cell>
          <cell r="D913" t="str">
            <v>BATU PENYU</v>
          </cell>
        </row>
        <row r="914">
          <cell r="B914" t="str">
            <v>BELITUNG TIMUR</v>
          </cell>
          <cell r="C914" t="str">
            <v>GANTUNG</v>
          </cell>
          <cell r="D914" t="str">
            <v>LIMBONGAN</v>
          </cell>
        </row>
        <row r="915">
          <cell r="B915" t="str">
            <v>BELITUNG TIMUR</v>
          </cell>
          <cell r="C915" t="str">
            <v>GANTUNG</v>
          </cell>
          <cell r="D915" t="str">
            <v>LIMBONGAN</v>
          </cell>
        </row>
        <row r="916">
          <cell r="B916" t="str">
            <v>BELITUNG TIMUR</v>
          </cell>
          <cell r="C916" t="str">
            <v>DENDANG</v>
          </cell>
          <cell r="D916" t="str">
            <v>DENDANG</v>
          </cell>
        </row>
        <row r="917">
          <cell r="B917" t="str">
            <v>BELITUNG TIMUR</v>
          </cell>
          <cell r="C917" t="str">
            <v>DENDANG</v>
          </cell>
          <cell r="D917" t="str">
            <v>DENDANG</v>
          </cell>
        </row>
        <row r="918">
          <cell r="B918" t="str">
            <v>BELITUNG TIMUR</v>
          </cell>
          <cell r="C918" t="str">
            <v>DENDANG</v>
          </cell>
          <cell r="D918" t="str">
            <v>JANGKANG</v>
          </cell>
        </row>
        <row r="919">
          <cell r="B919" t="str">
            <v>BELITUNG TIMUR</v>
          </cell>
          <cell r="C919" t="str">
            <v>DENDANG</v>
          </cell>
          <cell r="D919" t="str">
            <v>JANGKANG</v>
          </cell>
        </row>
        <row r="920">
          <cell r="B920" t="str">
            <v>BELITUNG TIMUR</v>
          </cell>
          <cell r="C920" t="str">
            <v>DENDANG</v>
          </cell>
          <cell r="D920" t="str">
            <v>JANGKANG</v>
          </cell>
        </row>
        <row r="921">
          <cell r="B921" t="str">
            <v>BELITUNG TIMUR</v>
          </cell>
          <cell r="C921" t="str">
            <v>DENDANG</v>
          </cell>
          <cell r="D921" t="str">
            <v>NYURUK</v>
          </cell>
        </row>
        <row r="922">
          <cell r="B922" t="str">
            <v>BELITUNG TIMUR</v>
          </cell>
          <cell r="C922" t="str">
            <v>DENDANG</v>
          </cell>
          <cell r="D922" t="str">
            <v>NYURUK</v>
          </cell>
        </row>
        <row r="923">
          <cell r="B923" t="str">
            <v>BELITUNG TIMUR</v>
          </cell>
          <cell r="C923" t="str">
            <v>DENDANG</v>
          </cell>
          <cell r="D923" t="str">
            <v>NYURUK</v>
          </cell>
        </row>
        <row r="924">
          <cell r="B924" t="str">
            <v>BELITUNG TIMUR</v>
          </cell>
          <cell r="C924" t="str">
            <v>DENDANG</v>
          </cell>
          <cell r="D924" t="str">
            <v>BALOK</v>
          </cell>
        </row>
        <row r="925">
          <cell r="B925" t="str">
            <v>BELITUNG TIMUR</v>
          </cell>
          <cell r="C925" t="str">
            <v>DENDANG</v>
          </cell>
          <cell r="D925" t="str">
            <v>BALOK</v>
          </cell>
        </row>
        <row r="926">
          <cell r="B926" t="str">
            <v>BELITUNG TIMUR</v>
          </cell>
          <cell r="C926" t="str">
            <v>KELAPA KAMPIT</v>
          </cell>
          <cell r="D926" t="str">
            <v>MENTAWAK</v>
          </cell>
        </row>
        <row r="927">
          <cell r="B927" t="str">
            <v>BELITUNG TIMUR</v>
          </cell>
          <cell r="C927" t="str">
            <v>KELAPA KAMPIT</v>
          </cell>
          <cell r="D927" t="str">
            <v>MENTAWAK</v>
          </cell>
        </row>
        <row r="928">
          <cell r="B928" t="str">
            <v>BELITUNG TIMUR</v>
          </cell>
          <cell r="C928" t="str">
            <v>KELAPA KAMPIT</v>
          </cell>
          <cell r="D928" t="str">
            <v>MENTAWAK</v>
          </cell>
        </row>
        <row r="929">
          <cell r="B929" t="str">
            <v>BELITUNG TIMUR</v>
          </cell>
          <cell r="C929" t="str">
            <v>KELAPA KAMPIT</v>
          </cell>
          <cell r="D929" t="str">
            <v>SENYUBUK</v>
          </cell>
        </row>
        <row r="930">
          <cell r="B930" t="str">
            <v>BELITUNG TIMUR</v>
          </cell>
          <cell r="C930" t="str">
            <v>KELAPA KAMPIT</v>
          </cell>
          <cell r="D930" t="str">
            <v>SENYUBUK</v>
          </cell>
        </row>
        <row r="931">
          <cell r="B931" t="str">
            <v>BELITUNG TIMUR</v>
          </cell>
          <cell r="C931" t="str">
            <v>KELAPA KAMPIT</v>
          </cell>
          <cell r="D931" t="str">
            <v>SENYUBUK</v>
          </cell>
        </row>
        <row r="932">
          <cell r="B932" t="str">
            <v>BELITUNG TIMUR</v>
          </cell>
          <cell r="C932" t="str">
            <v>KELAPA KAMPIT</v>
          </cell>
          <cell r="D932" t="str">
            <v>CENDIL</v>
          </cell>
        </row>
        <row r="933">
          <cell r="B933" t="str">
            <v>BELITUNG TIMUR</v>
          </cell>
          <cell r="C933" t="str">
            <v>KELAPA KAMPIT</v>
          </cell>
          <cell r="D933" t="str">
            <v>CENDIL</v>
          </cell>
        </row>
        <row r="934">
          <cell r="B934" t="str">
            <v>BELITUNG TIMUR</v>
          </cell>
          <cell r="C934" t="str">
            <v>KELAPA KAMPIT</v>
          </cell>
          <cell r="D934" t="str">
            <v>CENDIL</v>
          </cell>
        </row>
        <row r="935">
          <cell r="B935" t="str">
            <v>BELITUNG TIMUR</v>
          </cell>
          <cell r="C935" t="str">
            <v>KELAPA KAMPIT</v>
          </cell>
          <cell r="D935" t="str">
            <v>BUDING</v>
          </cell>
        </row>
        <row r="936">
          <cell r="B936" t="str">
            <v>BELITUNG TIMUR</v>
          </cell>
          <cell r="C936" t="str">
            <v>KELAPA KAMPIT</v>
          </cell>
          <cell r="D936" t="str">
            <v>BUDING</v>
          </cell>
        </row>
        <row r="937">
          <cell r="B937" t="str">
            <v>BELITUNG TIMUR</v>
          </cell>
          <cell r="C937" t="str">
            <v>KELAPA KAMPIT</v>
          </cell>
          <cell r="D937" t="str">
            <v>BUDING</v>
          </cell>
        </row>
        <row r="938">
          <cell r="B938" t="str">
            <v>BELITUNG TIMUR</v>
          </cell>
          <cell r="C938" t="str">
            <v>KELAPA KAMPIT</v>
          </cell>
          <cell r="D938" t="str">
            <v>MAYANG</v>
          </cell>
        </row>
        <row r="939">
          <cell r="B939" t="str">
            <v>BELITUNG TIMUR</v>
          </cell>
          <cell r="C939" t="str">
            <v>KELAPA KAMPIT</v>
          </cell>
          <cell r="D939" t="str">
            <v>MAYANG</v>
          </cell>
        </row>
        <row r="940">
          <cell r="B940" t="str">
            <v>BELITUNG TIMUR</v>
          </cell>
          <cell r="C940" t="str">
            <v>KELAPA KAMPIT</v>
          </cell>
          <cell r="D940" t="str">
            <v>PEMBAHARUAN</v>
          </cell>
        </row>
        <row r="941">
          <cell r="B941" t="str">
            <v>BELITUNG TIMUR</v>
          </cell>
          <cell r="C941" t="str">
            <v>KELAPA KAMPIT</v>
          </cell>
          <cell r="D941" t="str">
            <v>PEMBAHARUAN</v>
          </cell>
        </row>
        <row r="942">
          <cell r="B942" t="str">
            <v>BELITUNG TIMUR</v>
          </cell>
          <cell r="C942" t="str">
            <v>DAMAR</v>
          </cell>
          <cell r="D942" t="str">
            <v>AIR KELIK</v>
          </cell>
        </row>
        <row r="943">
          <cell r="B943" t="str">
            <v>BELITUNG TIMUR</v>
          </cell>
          <cell r="C943" t="str">
            <v>DAMAR</v>
          </cell>
          <cell r="D943" t="str">
            <v>AIR KELIK</v>
          </cell>
        </row>
        <row r="944">
          <cell r="B944" t="str">
            <v>BELITUNG TIMUR</v>
          </cell>
          <cell r="C944" t="str">
            <v>DAMAR</v>
          </cell>
          <cell r="D944" t="str">
            <v>MEMPAYA</v>
          </cell>
        </row>
        <row r="945">
          <cell r="B945" t="str">
            <v>BELITUNG TIMUR</v>
          </cell>
          <cell r="C945" t="str">
            <v>DAMAR</v>
          </cell>
          <cell r="D945" t="str">
            <v>MEMPAYA</v>
          </cell>
        </row>
        <row r="946">
          <cell r="B946" t="str">
            <v>BELITUNG TIMUR</v>
          </cell>
          <cell r="C946" t="str">
            <v>DAMAR</v>
          </cell>
          <cell r="D946" t="str">
            <v>MEMPAYA</v>
          </cell>
        </row>
        <row r="947">
          <cell r="B947" t="str">
            <v>BELITUNG TIMUR</v>
          </cell>
          <cell r="C947" t="str">
            <v>DAMAR</v>
          </cell>
          <cell r="D947" t="str">
            <v>BURONG MANDI</v>
          </cell>
        </row>
        <row r="948">
          <cell r="B948" t="str">
            <v>BELITUNG TIMUR</v>
          </cell>
          <cell r="C948" t="str">
            <v>DAMAR</v>
          </cell>
          <cell r="D948" t="str">
            <v>BURONG MANDI</v>
          </cell>
        </row>
        <row r="949">
          <cell r="B949" t="str">
            <v>BELITUNG TIMUR</v>
          </cell>
          <cell r="C949" t="str">
            <v>DAMAR</v>
          </cell>
          <cell r="D949" t="str">
            <v>BURONG MANDI</v>
          </cell>
        </row>
        <row r="950">
          <cell r="B950" t="str">
            <v>BELITUNG TIMUR</v>
          </cell>
          <cell r="C950" t="str">
            <v>DAMAR</v>
          </cell>
          <cell r="D950" t="str">
            <v>MENGKUBANG</v>
          </cell>
        </row>
        <row r="951">
          <cell r="B951" t="str">
            <v>BELITUNG TIMUR</v>
          </cell>
          <cell r="C951" t="str">
            <v>DAMAR</v>
          </cell>
          <cell r="D951" t="str">
            <v>MENGKUBANG</v>
          </cell>
        </row>
        <row r="952">
          <cell r="B952" t="str">
            <v>BELITUNG TIMUR</v>
          </cell>
          <cell r="C952" t="str">
            <v>DAMAR</v>
          </cell>
          <cell r="D952" t="str">
            <v>MENGKUBANG</v>
          </cell>
        </row>
        <row r="953">
          <cell r="B953" t="str">
            <v>BELITUNG TIMUR</v>
          </cell>
          <cell r="C953" t="str">
            <v>DAMAR</v>
          </cell>
          <cell r="D953" t="str">
            <v>SUKAMANDI</v>
          </cell>
        </row>
        <row r="954">
          <cell r="B954" t="str">
            <v>BELITUNG TIMUR</v>
          </cell>
          <cell r="C954" t="str">
            <v>DAMAR</v>
          </cell>
          <cell r="D954" t="str">
            <v>SUKAMANDI</v>
          </cell>
        </row>
        <row r="955">
          <cell r="B955" t="str">
            <v>BELITUNG TIMUR</v>
          </cell>
          <cell r="C955" t="str">
            <v>DAMAR</v>
          </cell>
          <cell r="D955" t="str">
            <v>SUKAMANDI</v>
          </cell>
        </row>
        <row r="956">
          <cell r="B956" t="str">
            <v>BELITUNG TIMUR</v>
          </cell>
          <cell r="C956" t="str">
            <v>SIMPANG RENGGIANG</v>
          </cell>
          <cell r="D956" t="str">
            <v>SIMPANG TIGA</v>
          </cell>
        </row>
        <row r="957">
          <cell r="B957" t="str">
            <v>BELITUNG TIMUR</v>
          </cell>
          <cell r="C957" t="str">
            <v>SIMPANG RENGGIANG</v>
          </cell>
          <cell r="D957" t="str">
            <v>SIMPANG TIGA</v>
          </cell>
        </row>
        <row r="958">
          <cell r="B958" t="str">
            <v>BELITUNG TIMUR</v>
          </cell>
          <cell r="C958" t="str">
            <v>SIMPANG RENGGIANG</v>
          </cell>
          <cell r="D958" t="str">
            <v>RENGGIANG</v>
          </cell>
        </row>
        <row r="959">
          <cell r="B959" t="str">
            <v>BELITUNG TIMUR</v>
          </cell>
          <cell r="C959" t="str">
            <v>SIMPANG RENGGIANG</v>
          </cell>
          <cell r="D959" t="str">
            <v>RENGGIANG</v>
          </cell>
        </row>
        <row r="960">
          <cell r="B960" t="str">
            <v>BELITUNG TIMUR</v>
          </cell>
          <cell r="C960" t="str">
            <v>SIMPANG RENGGIANG</v>
          </cell>
          <cell r="D960" t="str">
            <v>RENGGIANG</v>
          </cell>
        </row>
        <row r="961">
          <cell r="B961" t="str">
            <v>BELITUNG TIMUR</v>
          </cell>
          <cell r="C961" t="str">
            <v>SIMPANG RENGGIANG</v>
          </cell>
          <cell r="D961" t="str">
            <v>AIK MADU</v>
          </cell>
        </row>
        <row r="962">
          <cell r="B962" t="str">
            <v>BELITUNG TIMUR</v>
          </cell>
          <cell r="C962" t="str">
            <v>SIMPANG RENGGIANG</v>
          </cell>
          <cell r="D962" t="str">
            <v>AIK MADU</v>
          </cell>
        </row>
        <row r="963">
          <cell r="B963" t="str">
            <v>BELITUNG TIMUR</v>
          </cell>
          <cell r="C963" t="str">
            <v>SIMPANG RENGGIANG</v>
          </cell>
          <cell r="D963" t="str">
            <v>LINTANG</v>
          </cell>
        </row>
        <row r="964">
          <cell r="B964" t="str">
            <v>BELITUNG TIMUR</v>
          </cell>
          <cell r="C964" t="str">
            <v>SIMPANG RENGGIANG</v>
          </cell>
          <cell r="D964" t="str">
            <v>LINTANG</v>
          </cell>
        </row>
        <row r="965">
          <cell r="B965" t="str">
            <v>NAMA KABUPATEN/KOTA</v>
          </cell>
          <cell r="C965" t="str">
            <v>NAMA KECAMATAN</v>
          </cell>
          <cell r="D965" t="str">
            <v>NAMA KELURAHAN</v>
          </cell>
        </row>
        <row r="970">
          <cell r="B970" t="str">
            <v>BELITUNG TIMUR</v>
          </cell>
          <cell r="C970" t="str">
            <v>SIMPANG RENGGIANG</v>
          </cell>
          <cell r="D970" t="str">
            <v>LINTANG</v>
          </cell>
        </row>
        <row r="971">
          <cell r="B971" t="str">
            <v>BELITUNG TIMUR</v>
          </cell>
          <cell r="C971" t="str">
            <v>SIMPANG PESAK</v>
          </cell>
          <cell r="D971" t="str">
            <v>SIMPANG PESAK</v>
          </cell>
        </row>
        <row r="972">
          <cell r="B972" t="str">
            <v>BELITUNG TIMUR</v>
          </cell>
          <cell r="C972" t="str">
            <v>SIMPANG PESAK</v>
          </cell>
          <cell r="D972" t="str">
            <v>SIMPANG PESAK</v>
          </cell>
        </row>
        <row r="973">
          <cell r="B973" t="str">
            <v>BELITUNG TIMUR</v>
          </cell>
          <cell r="C973" t="str">
            <v>SIMPANG PESAK</v>
          </cell>
          <cell r="D973" t="str">
            <v>SIMPANG PESAK</v>
          </cell>
        </row>
        <row r="974">
          <cell r="B974" t="str">
            <v>BELITUNG TIMUR</v>
          </cell>
          <cell r="C974" t="str">
            <v>SIMPANG PESAK</v>
          </cell>
          <cell r="D974" t="str">
            <v>TANJUNG BATU ITAM</v>
          </cell>
        </row>
        <row r="975">
          <cell r="B975" t="str">
            <v>BELITUNG TIMUR</v>
          </cell>
          <cell r="C975" t="str">
            <v>SIMPANG PESAK</v>
          </cell>
          <cell r="D975" t="str">
            <v>TANJUNG BATU ITAM</v>
          </cell>
        </row>
        <row r="976">
          <cell r="B976" t="str">
            <v>BELITUNG TIMUR</v>
          </cell>
          <cell r="C976" t="str">
            <v>SIMPANG PESAK</v>
          </cell>
          <cell r="D976" t="str">
            <v>TANJUNG BATU ITAM</v>
          </cell>
        </row>
        <row r="977">
          <cell r="B977" t="str">
            <v>BELITUNG TIMUR</v>
          </cell>
          <cell r="C977" t="str">
            <v>SIMPANG PESAK</v>
          </cell>
          <cell r="D977" t="str">
            <v>TANJUNG KELUMPANG</v>
          </cell>
        </row>
        <row r="978">
          <cell r="B978" t="str">
            <v>BELITUNG TIMUR</v>
          </cell>
          <cell r="C978" t="str">
            <v>SIMPANG PESAK</v>
          </cell>
          <cell r="D978" t="str">
            <v>TANJUNG KELUMPANG</v>
          </cell>
        </row>
        <row r="979">
          <cell r="B979" t="str">
            <v>BELITUNG TIMUR</v>
          </cell>
          <cell r="C979" t="str">
            <v>SIMPANG PESAK</v>
          </cell>
          <cell r="D979" t="str">
            <v>DUKONG</v>
          </cell>
        </row>
        <row r="980">
          <cell r="B980" t="str">
            <v>BELITUNG TIMUR</v>
          </cell>
          <cell r="C980" t="str">
            <v>SIMPANG PESAK</v>
          </cell>
          <cell r="D980" t="str">
            <v>DUKONG</v>
          </cell>
        </row>
        <row r="981">
          <cell r="B981" t="str">
            <v>KOTA PANGKAL PINANG</v>
          </cell>
          <cell r="C981" t="str">
            <v>BUKITINTAN</v>
          </cell>
          <cell r="D981" t="str">
            <v>SEMABUNG LAMA</v>
          </cell>
        </row>
        <row r="982">
          <cell r="B982" t="str">
            <v>KOTA PANGKAL PINANG</v>
          </cell>
          <cell r="C982" t="str">
            <v>BUKITINTAN</v>
          </cell>
          <cell r="D982" t="str">
            <v>SEMABUNG LAMA</v>
          </cell>
        </row>
        <row r="983">
          <cell r="B983" t="str">
            <v>KOTA PANGKAL PINANG</v>
          </cell>
          <cell r="C983" t="str">
            <v>BUKITINTAN</v>
          </cell>
          <cell r="D983" t="str">
            <v>SEMABUNG LAMA</v>
          </cell>
        </row>
        <row r="984">
          <cell r="B984" t="str">
            <v>KOTA PANGKAL PINANG</v>
          </cell>
          <cell r="C984" t="str">
            <v>BUKITINTAN</v>
          </cell>
          <cell r="D984" t="str">
            <v>SEMABUNG LAMA</v>
          </cell>
        </row>
        <row r="985">
          <cell r="B985" t="str">
            <v>KOTA PANGKAL PINANG</v>
          </cell>
          <cell r="C985" t="str">
            <v>BUKITINTAN</v>
          </cell>
          <cell r="D985" t="str">
            <v>BACANG</v>
          </cell>
        </row>
        <row r="986">
          <cell r="B986" t="str">
            <v>KOTA PANGKAL PINANG</v>
          </cell>
          <cell r="C986" t="str">
            <v>BUKITINTAN</v>
          </cell>
          <cell r="D986" t="str">
            <v>BACANG</v>
          </cell>
        </row>
        <row r="987">
          <cell r="B987" t="str">
            <v>KOTA PANGKAL PINANG</v>
          </cell>
          <cell r="C987" t="str">
            <v>BUKITINTAN</v>
          </cell>
          <cell r="D987" t="str">
            <v>BACANG</v>
          </cell>
        </row>
        <row r="988">
          <cell r="B988" t="str">
            <v>KOTA PANGKAL PINANG</v>
          </cell>
          <cell r="C988" t="str">
            <v>BUKITINTAN</v>
          </cell>
          <cell r="D988" t="str">
            <v>AIR ITAM</v>
          </cell>
        </row>
        <row r="989">
          <cell r="B989" t="str">
            <v>KOTA PANGKAL PINANG</v>
          </cell>
          <cell r="C989" t="str">
            <v>BUKITINTAN</v>
          </cell>
          <cell r="D989" t="str">
            <v>AIR ITAM</v>
          </cell>
        </row>
        <row r="990">
          <cell r="B990" t="str">
            <v>KOTA PANGKAL PINANG</v>
          </cell>
          <cell r="C990" t="str">
            <v>BUKITINTAN</v>
          </cell>
          <cell r="D990" t="str">
            <v>AIR ITAM</v>
          </cell>
        </row>
        <row r="991">
          <cell r="B991" t="str">
            <v>KOTA PANGKAL PINANG</v>
          </cell>
          <cell r="C991" t="str">
            <v>BUKITINTAN</v>
          </cell>
          <cell r="D991" t="str">
            <v>AIR ITAM</v>
          </cell>
        </row>
        <row r="992">
          <cell r="B992" t="str">
            <v>KOTA PANGKAL PINANG</v>
          </cell>
          <cell r="C992" t="str">
            <v>BUKITINTAN</v>
          </cell>
          <cell r="D992" t="str">
            <v>PASIR PUTIH</v>
          </cell>
        </row>
        <row r="993">
          <cell r="B993" t="str">
            <v>KOTA PANGKAL PINANG</v>
          </cell>
          <cell r="C993" t="str">
            <v>BUKITINTAN</v>
          </cell>
          <cell r="D993" t="str">
            <v>PASIR PUTIH</v>
          </cell>
        </row>
        <row r="994">
          <cell r="B994" t="str">
            <v>KOTA PANGKAL PINANG</v>
          </cell>
          <cell r="C994" t="str">
            <v>BUKITINTAN</v>
          </cell>
          <cell r="D994" t="str">
            <v>PASIR PUTIH</v>
          </cell>
        </row>
        <row r="995">
          <cell r="B995" t="str">
            <v>KOTA PANGKAL PINANG</v>
          </cell>
          <cell r="C995" t="str">
            <v>BUKITINTAN</v>
          </cell>
          <cell r="D995" t="str">
            <v>PASIR PUTIH</v>
          </cell>
        </row>
        <row r="996">
          <cell r="B996" t="str">
            <v>KOTA PANGKAL PINANG</v>
          </cell>
          <cell r="C996" t="str">
            <v>BUKITINTAN</v>
          </cell>
          <cell r="D996" t="str">
            <v>TEMBERAN</v>
          </cell>
        </row>
        <row r="997">
          <cell r="B997" t="str">
            <v>KOTA PANGKAL PINANG</v>
          </cell>
          <cell r="C997" t="str">
            <v>BUKITINTAN</v>
          </cell>
          <cell r="D997" t="str">
            <v>TEMBERAN</v>
          </cell>
        </row>
        <row r="998">
          <cell r="B998" t="str">
            <v>KOTA PANGKAL PINANG</v>
          </cell>
          <cell r="C998" t="str">
            <v>BUKITINTAN</v>
          </cell>
          <cell r="D998" t="str">
            <v>TEMBERAN</v>
          </cell>
        </row>
        <row r="999">
          <cell r="B999" t="str">
            <v>KOTA PANGKAL PINANG</v>
          </cell>
          <cell r="C999" t="str">
            <v>BUKITINTAN</v>
          </cell>
          <cell r="D999" t="str">
            <v>SINAR BULAN</v>
          </cell>
        </row>
        <row r="1000">
          <cell r="B1000" t="str">
            <v>KOTA PANGKAL PINANG</v>
          </cell>
          <cell r="C1000" t="str">
            <v>BUKITINTAN</v>
          </cell>
          <cell r="D1000" t="str">
            <v>SINAR BULAN</v>
          </cell>
        </row>
        <row r="1001">
          <cell r="B1001" t="str">
            <v>KOTA PANGKAL PINANG</v>
          </cell>
          <cell r="C1001" t="str">
            <v>BUKITINTAN</v>
          </cell>
          <cell r="D1001" t="str">
            <v>SINAR BULAN</v>
          </cell>
        </row>
        <row r="1002">
          <cell r="B1002" t="str">
            <v>KOTA PANGKAL PINANG</v>
          </cell>
          <cell r="C1002" t="str">
            <v>BUKITINTAN</v>
          </cell>
          <cell r="D1002" t="str">
            <v>AIR MAWAR</v>
          </cell>
        </row>
        <row r="1003">
          <cell r="B1003" t="str">
            <v>KOTA PANGKAL PINANG</v>
          </cell>
          <cell r="C1003" t="str">
            <v>BUKITINTAN</v>
          </cell>
          <cell r="D1003" t="str">
            <v>AIR MAWAR</v>
          </cell>
        </row>
        <row r="1004">
          <cell r="B1004" t="str">
            <v>KOTA PANGKAL PINANG</v>
          </cell>
          <cell r="C1004" t="str">
            <v>BUKITINTAN</v>
          </cell>
          <cell r="D1004" t="str">
            <v>AIR MAWAR</v>
          </cell>
        </row>
        <row r="1005">
          <cell r="B1005" t="str">
            <v>KOTA PANGKAL PINANG</v>
          </cell>
          <cell r="C1005" t="str">
            <v>TAMAN SARI</v>
          </cell>
          <cell r="D1005" t="str">
            <v>OPAS INDAH</v>
          </cell>
        </row>
        <row r="1006">
          <cell r="B1006" t="str">
            <v>KOTA PANGKAL PINANG</v>
          </cell>
          <cell r="C1006" t="str">
            <v>TAMAN SARI</v>
          </cell>
          <cell r="D1006" t="str">
            <v>OPAS INDAH</v>
          </cell>
        </row>
        <row r="1007">
          <cell r="B1007" t="str">
            <v>KOTA PANGKAL PINANG</v>
          </cell>
          <cell r="C1007" t="str">
            <v>TAMAN SARI</v>
          </cell>
          <cell r="D1007" t="str">
            <v>OPAS INDAH</v>
          </cell>
        </row>
        <row r="1008">
          <cell r="B1008" t="str">
            <v>KOTA PANGKAL PINANG</v>
          </cell>
          <cell r="C1008" t="str">
            <v>TAMAN SARI</v>
          </cell>
          <cell r="D1008" t="str">
            <v>OPAS INDAH</v>
          </cell>
        </row>
        <row r="1009">
          <cell r="B1009" t="str">
            <v>KOTA PANGKAL PINANG</v>
          </cell>
          <cell r="C1009" t="str">
            <v>TAMAN SARI</v>
          </cell>
          <cell r="D1009" t="str">
            <v>GEDUNG NASIONAL</v>
          </cell>
        </row>
        <row r="1010">
          <cell r="B1010" t="str">
            <v>KOTA PANGKAL PINANG</v>
          </cell>
          <cell r="C1010" t="str">
            <v>TAMAN SARI</v>
          </cell>
          <cell r="D1010" t="str">
            <v>GEDUNG NASIONAL</v>
          </cell>
        </row>
        <row r="1011">
          <cell r="B1011" t="str">
            <v>KOTA PANGKAL PINANG</v>
          </cell>
          <cell r="C1011" t="str">
            <v>TAMAN SARI</v>
          </cell>
          <cell r="D1011" t="str">
            <v>GEDUNG NASIONAL</v>
          </cell>
        </row>
        <row r="1012">
          <cell r="B1012" t="str">
            <v>KOTA PANGKAL PINANG</v>
          </cell>
          <cell r="C1012" t="str">
            <v>TAMAN SARI</v>
          </cell>
          <cell r="D1012" t="str">
            <v>BATIN TIKAL</v>
          </cell>
        </row>
        <row r="1013">
          <cell r="B1013" t="str">
            <v>KOTA PANGKAL PINANG</v>
          </cell>
          <cell r="C1013" t="str">
            <v>TAMAN SARI</v>
          </cell>
          <cell r="D1013" t="str">
            <v>BATIN TIKAL</v>
          </cell>
        </row>
        <row r="1014">
          <cell r="B1014" t="str">
            <v>KOTA PANGKAL PINANG</v>
          </cell>
          <cell r="C1014" t="str">
            <v>TAMAN SARI</v>
          </cell>
          <cell r="D1014" t="str">
            <v>BATIN TIKAL</v>
          </cell>
        </row>
        <row r="1015">
          <cell r="B1015" t="str">
            <v>KOTA PANGKAL PINANG</v>
          </cell>
          <cell r="C1015" t="str">
            <v>TAMAN SARI</v>
          </cell>
          <cell r="D1015" t="str">
            <v>RAWA BANGUN</v>
          </cell>
        </row>
        <row r="1016">
          <cell r="B1016" t="str">
            <v>KOTA PANGKAL PINANG</v>
          </cell>
          <cell r="C1016" t="str">
            <v>TAMAN SARI</v>
          </cell>
          <cell r="D1016" t="str">
            <v>RAWA BANGUN</v>
          </cell>
        </row>
        <row r="1017">
          <cell r="B1017" t="str">
            <v>KOTA PANGKAL PINANG</v>
          </cell>
          <cell r="C1017" t="str">
            <v>TAMAN SARI</v>
          </cell>
          <cell r="D1017" t="str">
            <v>RAWA BANGUN</v>
          </cell>
        </row>
        <row r="1018">
          <cell r="B1018" t="str">
            <v>KOTA PANGKAL PINANG</v>
          </cell>
          <cell r="C1018" t="str">
            <v>TAMAN SARI</v>
          </cell>
          <cell r="D1018" t="str">
            <v>KEJAKSAAN</v>
          </cell>
        </row>
        <row r="1019">
          <cell r="B1019" t="str">
            <v>KOTA PANGKAL PINANG</v>
          </cell>
          <cell r="C1019" t="str">
            <v>TAMAN SARI</v>
          </cell>
          <cell r="D1019" t="str">
            <v>KEJAKSAAN</v>
          </cell>
        </row>
        <row r="1020">
          <cell r="B1020" t="str">
            <v>KOTA PANGKAL PINANG</v>
          </cell>
          <cell r="C1020" t="str">
            <v>TAMAN SARI</v>
          </cell>
          <cell r="D1020" t="str">
            <v>KEJAKSAAN</v>
          </cell>
        </row>
        <row r="1021">
          <cell r="B1021" t="str">
            <v>KOTA PANGKAL PINANG</v>
          </cell>
          <cell r="C1021" t="str">
            <v>TAMAN SARI</v>
          </cell>
          <cell r="D1021" t="str">
            <v>KEJAKSAAN</v>
          </cell>
        </row>
        <row r="1022">
          <cell r="B1022" t="str">
            <v>KOTA PANGKAL PINANG</v>
          </cell>
          <cell r="C1022" t="str">
            <v>TAMAN SARI</v>
          </cell>
          <cell r="D1022" t="str">
            <v>KEJAKSAAN</v>
          </cell>
        </row>
        <row r="1023">
          <cell r="B1023" t="str">
            <v>KOTA PANGKAL PINANG</v>
          </cell>
          <cell r="C1023" t="str">
            <v>PANGKAL BALAM</v>
          </cell>
          <cell r="D1023" t="str">
            <v>PASIR GARAM</v>
          </cell>
        </row>
        <row r="1024">
          <cell r="B1024" t="str">
            <v>KOTA PANGKAL PINANG</v>
          </cell>
          <cell r="C1024" t="str">
            <v>PANGKAL BALAM</v>
          </cell>
          <cell r="D1024" t="str">
            <v>PASIR GARAM</v>
          </cell>
        </row>
        <row r="1025">
          <cell r="B1025" t="str">
            <v>KOTA PANGKAL PINANG</v>
          </cell>
          <cell r="C1025" t="str">
            <v>PANGKAL BALAM</v>
          </cell>
          <cell r="D1025" t="str">
            <v>PASIR GARAM</v>
          </cell>
        </row>
        <row r="1026">
          <cell r="B1026" t="str">
            <v>KOTA PANGKAL PINANG</v>
          </cell>
          <cell r="C1026" t="str">
            <v>PANGKAL BALAM</v>
          </cell>
          <cell r="D1026" t="str">
            <v>LONTONG PANCUR</v>
          </cell>
        </row>
        <row r="1027">
          <cell r="B1027" t="str">
            <v>KOTA PANGKAL PINANG</v>
          </cell>
          <cell r="C1027" t="str">
            <v>PANGKAL BALAM</v>
          </cell>
          <cell r="D1027" t="str">
            <v>LONTONG PANCUR</v>
          </cell>
        </row>
        <row r="1028">
          <cell r="B1028" t="str">
            <v>KOTA PANGKAL PINANG</v>
          </cell>
          <cell r="C1028" t="str">
            <v>PANGKAL BALAM</v>
          </cell>
          <cell r="D1028" t="str">
            <v>LONTONG PANCUR</v>
          </cell>
        </row>
        <row r="1029">
          <cell r="B1029" t="str">
            <v>KOTA PANGKAL PINANG</v>
          </cell>
          <cell r="C1029" t="str">
            <v>PANGKAL BALAM</v>
          </cell>
          <cell r="D1029" t="str">
            <v>LONTONG PANCUR</v>
          </cell>
        </row>
        <row r="1030">
          <cell r="B1030" t="str">
            <v>KOTA PANGKAL PINANG</v>
          </cell>
          <cell r="C1030" t="str">
            <v>PANGKAL BALAM</v>
          </cell>
          <cell r="D1030" t="str">
            <v>KETAPANG</v>
          </cell>
        </row>
        <row r="1031">
          <cell r="B1031" t="str">
            <v>KOTA PANGKAL PINANG</v>
          </cell>
          <cell r="C1031" t="str">
            <v>PANGKAL BALAM</v>
          </cell>
          <cell r="D1031" t="str">
            <v>KETAPANG</v>
          </cell>
        </row>
        <row r="1032">
          <cell r="B1032" t="str">
            <v>KOTA PANGKAL PINANG</v>
          </cell>
          <cell r="C1032" t="str">
            <v>PANGKAL BALAM</v>
          </cell>
          <cell r="D1032" t="str">
            <v>KETAPANG</v>
          </cell>
        </row>
        <row r="1033">
          <cell r="B1033" t="str">
            <v>KOTA PANGKAL PINANG</v>
          </cell>
          <cell r="C1033" t="str">
            <v>PANGKAL BALAM</v>
          </cell>
          <cell r="D1033" t="str">
            <v>KETAPANG</v>
          </cell>
        </row>
        <row r="1034">
          <cell r="B1034" t="str">
            <v>NAMA KABUPATEN/KOTA</v>
          </cell>
          <cell r="C1034" t="str">
            <v>NAMA KECAMATAN</v>
          </cell>
          <cell r="D1034" t="str">
            <v>NAMA KELURAHAN</v>
          </cell>
        </row>
        <row r="1039">
          <cell r="B1039" t="str">
            <v>KOTA PANGKAL PINANG</v>
          </cell>
          <cell r="C1039" t="str">
            <v>PANGKAL BALAM</v>
          </cell>
          <cell r="D1039" t="str">
            <v>AMPUI</v>
          </cell>
        </row>
        <row r="1040">
          <cell r="B1040" t="str">
            <v>KOTA PANGKAL PINANG</v>
          </cell>
          <cell r="C1040" t="str">
            <v>PANGKAL BALAM</v>
          </cell>
          <cell r="D1040" t="str">
            <v>AMPUI</v>
          </cell>
        </row>
        <row r="1041">
          <cell r="B1041" t="str">
            <v>KOTA PANGKAL PINANG</v>
          </cell>
          <cell r="C1041" t="str">
            <v>PANGKAL BALAM</v>
          </cell>
          <cell r="D1041" t="str">
            <v>AMPUI</v>
          </cell>
        </row>
        <row r="1042">
          <cell r="B1042" t="str">
            <v>KOTA PANGKAL PINANG</v>
          </cell>
          <cell r="C1042" t="str">
            <v>PANGKAL BALAM</v>
          </cell>
          <cell r="D1042" t="str">
            <v>REJO SARI</v>
          </cell>
        </row>
        <row r="1043">
          <cell r="B1043" t="str">
            <v>KOTA PANGKAL PINANG</v>
          </cell>
          <cell r="C1043" t="str">
            <v>PANGKAL BALAM</v>
          </cell>
          <cell r="D1043" t="str">
            <v>REJO SARI</v>
          </cell>
        </row>
        <row r="1044">
          <cell r="B1044" t="str">
            <v>KOTA PANGKAL PINANG</v>
          </cell>
          <cell r="C1044" t="str">
            <v>PANGKAL BALAM</v>
          </cell>
          <cell r="D1044" t="str">
            <v>REJO SARI</v>
          </cell>
        </row>
        <row r="1045">
          <cell r="B1045" t="str">
            <v>KOTA PANGKAL PINANG</v>
          </cell>
          <cell r="C1045" t="str">
            <v>PANGKAL BALAM</v>
          </cell>
          <cell r="D1045" t="str">
            <v>REJO SARI</v>
          </cell>
        </row>
        <row r="1046">
          <cell r="B1046" t="str">
            <v>KOTA PANGKAL PINANG</v>
          </cell>
          <cell r="C1046" t="str">
            <v>RANGKUI</v>
          </cell>
          <cell r="D1046" t="str">
            <v>PINTU AIR</v>
          </cell>
        </row>
        <row r="1047">
          <cell r="B1047" t="str">
            <v>KOTA PANGKAL PINANG</v>
          </cell>
          <cell r="C1047" t="str">
            <v>RANGKUI</v>
          </cell>
          <cell r="D1047" t="str">
            <v>PINTU AIR</v>
          </cell>
        </row>
        <row r="1048">
          <cell r="B1048" t="str">
            <v>KOTA PANGKAL PINANG</v>
          </cell>
          <cell r="C1048" t="str">
            <v>RANGKUI</v>
          </cell>
          <cell r="D1048" t="str">
            <v>PINTU AIR</v>
          </cell>
        </row>
        <row r="1049">
          <cell r="B1049" t="str">
            <v>KOTA PANGKAL PINANG</v>
          </cell>
          <cell r="C1049" t="str">
            <v>RANGKUI</v>
          </cell>
          <cell r="D1049" t="str">
            <v>PINTU AIR</v>
          </cell>
        </row>
        <row r="1050">
          <cell r="B1050" t="str">
            <v>KOTA PANGKAL PINANG</v>
          </cell>
          <cell r="C1050" t="str">
            <v>RANGKUI</v>
          </cell>
          <cell r="D1050" t="str">
            <v>BINTANG</v>
          </cell>
        </row>
        <row r="1051">
          <cell r="B1051" t="str">
            <v>KOTA PANGKAL PINANG</v>
          </cell>
          <cell r="C1051" t="str">
            <v>RANGKUI</v>
          </cell>
          <cell r="D1051" t="str">
            <v>BINTANG</v>
          </cell>
        </row>
        <row r="1052">
          <cell r="B1052" t="str">
            <v>KOTA PANGKAL PINANG</v>
          </cell>
          <cell r="C1052" t="str">
            <v>RANGKUI</v>
          </cell>
          <cell r="D1052" t="str">
            <v>MASJID JAMIK</v>
          </cell>
        </row>
        <row r="1053">
          <cell r="B1053" t="str">
            <v>KOTA PANGKAL PINANG</v>
          </cell>
          <cell r="C1053" t="str">
            <v>RANGKUI</v>
          </cell>
          <cell r="D1053" t="str">
            <v>MASJID JAMIK</v>
          </cell>
        </row>
        <row r="1054">
          <cell r="B1054" t="str">
            <v>KOTA PANGKAL PINANG</v>
          </cell>
          <cell r="C1054" t="str">
            <v>RANGKUI</v>
          </cell>
          <cell r="D1054" t="str">
            <v>ASAM</v>
          </cell>
        </row>
        <row r="1055">
          <cell r="B1055" t="str">
            <v>KOTA PANGKAL PINANG</v>
          </cell>
          <cell r="C1055" t="str">
            <v>RANGKUI</v>
          </cell>
          <cell r="D1055" t="str">
            <v>ASAM</v>
          </cell>
        </row>
        <row r="1056">
          <cell r="B1056" t="str">
            <v>KOTA PANGKAL PINANG</v>
          </cell>
          <cell r="C1056" t="str">
            <v>RANGKUI</v>
          </cell>
          <cell r="D1056" t="str">
            <v>ASAM</v>
          </cell>
        </row>
        <row r="1057">
          <cell r="B1057" t="str">
            <v>KOTA PANGKAL PINANG</v>
          </cell>
          <cell r="C1057" t="str">
            <v>RANGKUI</v>
          </cell>
          <cell r="D1057" t="str">
            <v>MELINTANG</v>
          </cell>
        </row>
        <row r="1058">
          <cell r="B1058" t="str">
            <v>KOTA PANGKAL PINANG</v>
          </cell>
          <cell r="C1058" t="str">
            <v>RANGKUI</v>
          </cell>
          <cell r="D1058" t="str">
            <v>MELINTANG</v>
          </cell>
        </row>
        <row r="1059">
          <cell r="B1059" t="str">
            <v>KOTA PANGKAL PINANG</v>
          </cell>
          <cell r="C1059" t="str">
            <v>RANGKUI</v>
          </cell>
          <cell r="D1059" t="str">
            <v>MELINTANG</v>
          </cell>
        </row>
        <row r="1060">
          <cell r="B1060" t="str">
            <v>KOTA PANGKAL PINANG</v>
          </cell>
          <cell r="C1060" t="str">
            <v>RANGKUI</v>
          </cell>
          <cell r="D1060" t="str">
            <v>PARIT LALANG</v>
          </cell>
        </row>
        <row r="1061">
          <cell r="B1061" t="str">
            <v>KOTA PANGKAL PINANG</v>
          </cell>
          <cell r="C1061" t="str">
            <v>RANGKUI</v>
          </cell>
          <cell r="D1061" t="str">
            <v>PARIT LALANG</v>
          </cell>
        </row>
        <row r="1062">
          <cell r="B1062" t="str">
            <v>KOTA PANGKAL PINANG</v>
          </cell>
          <cell r="C1062" t="str">
            <v>RANGKUI</v>
          </cell>
          <cell r="D1062" t="str">
            <v>PARIT LALANG</v>
          </cell>
        </row>
        <row r="1063">
          <cell r="B1063" t="str">
            <v>KOTA PANGKAL PINANG</v>
          </cell>
          <cell r="C1063" t="str">
            <v>RANGKUI</v>
          </cell>
          <cell r="D1063" t="str">
            <v>PARIT LALANG</v>
          </cell>
        </row>
        <row r="1064">
          <cell r="B1064" t="str">
            <v>KOTA PANGKAL PINANG</v>
          </cell>
          <cell r="C1064" t="str">
            <v>RANGKUI</v>
          </cell>
          <cell r="D1064" t="str">
            <v>KERAMAT</v>
          </cell>
        </row>
        <row r="1065">
          <cell r="B1065" t="str">
            <v>KOTA PANGKAL PINANG</v>
          </cell>
          <cell r="C1065" t="str">
            <v>RANGKUI</v>
          </cell>
          <cell r="D1065" t="str">
            <v>KERAMAT</v>
          </cell>
        </row>
        <row r="1066">
          <cell r="B1066" t="str">
            <v>KOTA PANGKAL PINANG</v>
          </cell>
          <cell r="C1066" t="str">
            <v>RANGKUI</v>
          </cell>
          <cell r="D1066" t="str">
            <v>KERAMAT</v>
          </cell>
        </row>
        <row r="1067">
          <cell r="B1067" t="str">
            <v>KOTA PANGKAL PINANG</v>
          </cell>
          <cell r="C1067" t="str">
            <v>RANGKUI</v>
          </cell>
          <cell r="D1067" t="str">
            <v>KERAMAT</v>
          </cell>
        </row>
        <row r="1068">
          <cell r="B1068" t="str">
            <v>KOTA PANGKAL PINANG</v>
          </cell>
          <cell r="C1068" t="str">
            <v>RANGKUI</v>
          </cell>
          <cell r="D1068" t="str">
            <v>GAJAH MADA</v>
          </cell>
        </row>
        <row r="1069">
          <cell r="B1069" t="str">
            <v>KOTA PANGKAL PINANG</v>
          </cell>
          <cell r="C1069" t="str">
            <v>RANGKUI</v>
          </cell>
          <cell r="D1069" t="str">
            <v>GAJAH MADA</v>
          </cell>
        </row>
        <row r="1070">
          <cell r="B1070" t="str">
            <v>KOTA PANGKAL PINANG</v>
          </cell>
          <cell r="C1070" t="str">
            <v>RANGKUI</v>
          </cell>
          <cell r="D1070" t="str">
            <v>GAJAH MADA</v>
          </cell>
        </row>
        <row r="1071">
          <cell r="B1071" t="str">
            <v>KOTA PANGKAL PINANG</v>
          </cell>
          <cell r="C1071" t="str">
            <v>RANGKUI</v>
          </cell>
          <cell r="D1071" t="str">
            <v>GAJAH MADA</v>
          </cell>
        </row>
        <row r="1072">
          <cell r="B1072" t="str">
            <v>KOTA PANGKAL PINANG</v>
          </cell>
          <cell r="C1072" t="str">
            <v>GERUNGGANG</v>
          </cell>
          <cell r="D1072" t="str">
            <v>TAMAN BUNGA</v>
          </cell>
        </row>
        <row r="1073">
          <cell r="B1073" t="str">
            <v>KOTA PANGKAL PINANG</v>
          </cell>
          <cell r="C1073" t="str">
            <v>GERUNGGANG</v>
          </cell>
          <cell r="D1073" t="str">
            <v>TAMAN BUNGA</v>
          </cell>
        </row>
        <row r="1074">
          <cell r="B1074" t="str">
            <v>KOTA PANGKAL PINANG</v>
          </cell>
          <cell r="C1074" t="str">
            <v>GERUNGGANG</v>
          </cell>
          <cell r="D1074" t="str">
            <v>TAMAN BUNGA</v>
          </cell>
        </row>
        <row r="1075">
          <cell r="B1075" t="str">
            <v>KOTA PANGKAL PINANG</v>
          </cell>
          <cell r="C1075" t="str">
            <v>GERUNGGANG</v>
          </cell>
          <cell r="D1075" t="str">
            <v>BUKIT MERAPEN</v>
          </cell>
        </row>
        <row r="1076">
          <cell r="B1076" t="str">
            <v>KOTA PANGKAL PINANG</v>
          </cell>
          <cell r="C1076" t="str">
            <v>GERUNGGANG</v>
          </cell>
          <cell r="D1076" t="str">
            <v>BUKIT MERAPEN</v>
          </cell>
        </row>
        <row r="1077">
          <cell r="B1077" t="str">
            <v>KOTA PANGKAL PINANG</v>
          </cell>
          <cell r="C1077" t="str">
            <v>GERUNGGANG</v>
          </cell>
          <cell r="D1077" t="str">
            <v>BUKIT MERAPEN</v>
          </cell>
        </row>
        <row r="1078">
          <cell r="B1078" t="str">
            <v>KOTA PANGKAL PINANG</v>
          </cell>
          <cell r="C1078" t="str">
            <v>GERUNGGANG</v>
          </cell>
          <cell r="D1078" t="str">
            <v>BUKIT MERAPEN</v>
          </cell>
        </row>
        <row r="1079">
          <cell r="B1079" t="str">
            <v>KOTA PANGKAL PINANG</v>
          </cell>
          <cell r="C1079" t="str">
            <v>GERUNGGANG</v>
          </cell>
          <cell r="D1079" t="str">
            <v>BUKIT SARI</v>
          </cell>
        </row>
        <row r="1080">
          <cell r="B1080" t="str">
            <v>KOTA PANGKAL PINANG</v>
          </cell>
          <cell r="C1080" t="str">
            <v>GERUNGGANG</v>
          </cell>
          <cell r="D1080" t="str">
            <v>BUKIT SARI</v>
          </cell>
        </row>
        <row r="1081">
          <cell r="B1081" t="str">
            <v>KOTA PANGKAL PINANG</v>
          </cell>
          <cell r="C1081" t="str">
            <v>GERUNGGANG</v>
          </cell>
          <cell r="D1081" t="str">
            <v>BUKIT SARI</v>
          </cell>
        </row>
        <row r="1082">
          <cell r="B1082" t="str">
            <v>KOTA PANGKAL PINANG</v>
          </cell>
          <cell r="C1082" t="str">
            <v>GERUNGGANG</v>
          </cell>
          <cell r="D1082" t="str">
            <v>BUKIT SARI</v>
          </cell>
        </row>
        <row r="1083">
          <cell r="B1083" t="str">
            <v>KOTA PANGKAL PINANG</v>
          </cell>
          <cell r="C1083" t="str">
            <v>GERUNGGANG</v>
          </cell>
          <cell r="D1083" t="str">
            <v>TUA TUNU INDAH</v>
          </cell>
        </row>
        <row r="1084">
          <cell r="B1084" t="str">
            <v>KOTA PANGKAL PINANG</v>
          </cell>
          <cell r="C1084" t="str">
            <v>GERUNGGANG</v>
          </cell>
          <cell r="D1084" t="str">
            <v>TUA TUNU INDAH</v>
          </cell>
        </row>
        <row r="1085">
          <cell r="B1085" t="str">
            <v>KOTA PANGKAL PINANG</v>
          </cell>
          <cell r="C1085" t="str">
            <v>GERUNGGANG</v>
          </cell>
          <cell r="D1085" t="str">
            <v>TUA TUNU INDAH</v>
          </cell>
        </row>
        <row r="1086">
          <cell r="B1086" t="str">
            <v>KOTA PANGKAL PINANG</v>
          </cell>
          <cell r="C1086" t="str">
            <v>GERUNGGANG</v>
          </cell>
          <cell r="D1086" t="str">
            <v>KACANG PEDANG</v>
          </cell>
        </row>
        <row r="1087">
          <cell r="B1087" t="str">
            <v>KOTA PANGKAL PINANG</v>
          </cell>
          <cell r="C1087" t="str">
            <v>GERUNGGANG</v>
          </cell>
          <cell r="D1087" t="str">
            <v>KACANG PEDANG</v>
          </cell>
        </row>
        <row r="1088">
          <cell r="B1088" t="str">
            <v>KOTA PANGKAL PINANG</v>
          </cell>
          <cell r="C1088" t="str">
            <v>GERUNGGANG</v>
          </cell>
          <cell r="D1088" t="str">
            <v>KACANG PEDANG</v>
          </cell>
        </row>
        <row r="1089">
          <cell r="B1089" t="str">
            <v>KOTA PANGKAL PINANG</v>
          </cell>
          <cell r="C1089" t="str">
            <v>GERUNGGANG</v>
          </cell>
          <cell r="D1089" t="str">
            <v>KACANG PEDANG</v>
          </cell>
        </row>
        <row r="1090">
          <cell r="B1090" t="str">
            <v>KOTA PANGKAL PINANG</v>
          </cell>
          <cell r="C1090" t="str">
            <v>GERUNGGANG</v>
          </cell>
          <cell r="D1090" t="str">
            <v>AIR KEPALA TUJUH</v>
          </cell>
        </row>
        <row r="1091">
          <cell r="B1091" t="str">
            <v>KOTA PANGKAL PINANG</v>
          </cell>
          <cell r="C1091" t="str">
            <v>GERUNGGANG</v>
          </cell>
          <cell r="D1091" t="str">
            <v>AIR KEPALA TUJUH</v>
          </cell>
        </row>
        <row r="1092">
          <cell r="B1092" t="str">
            <v>KOTA PANGKAL PINANG</v>
          </cell>
          <cell r="C1092" t="str">
            <v>GERUNGGANG</v>
          </cell>
          <cell r="D1092" t="str">
            <v>AIR KEPALA TUJUH</v>
          </cell>
        </row>
        <row r="1093">
          <cell r="B1093" t="str">
            <v>KOTA PANGKAL PINANG</v>
          </cell>
          <cell r="C1093" t="str">
            <v>GABEK</v>
          </cell>
          <cell r="D1093" t="str">
            <v>SELINDUNG</v>
          </cell>
        </row>
        <row r="1094">
          <cell r="B1094" t="str">
            <v>KOTA PANGKAL PINANG</v>
          </cell>
          <cell r="C1094" t="str">
            <v>GABEK</v>
          </cell>
          <cell r="D1094" t="str">
            <v>SELINDUNG</v>
          </cell>
        </row>
        <row r="1095">
          <cell r="B1095" t="str">
            <v>KOTA PANGKAL PINANG</v>
          </cell>
          <cell r="C1095" t="str">
            <v>GABEK</v>
          </cell>
          <cell r="D1095" t="str">
            <v>SELINDUNG</v>
          </cell>
        </row>
        <row r="1096">
          <cell r="B1096" t="str">
            <v>KOTA PANGKAL PINANG</v>
          </cell>
          <cell r="C1096" t="str">
            <v>GABEK</v>
          </cell>
          <cell r="D1096" t="str">
            <v>SELINDUNG BARU</v>
          </cell>
        </row>
        <row r="1097">
          <cell r="B1097" t="str">
            <v>KOTA PANGKAL PINANG</v>
          </cell>
          <cell r="C1097" t="str">
            <v>GABEK</v>
          </cell>
          <cell r="D1097" t="str">
            <v>SELINDUNG BARU</v>
          </cell>
        </row>
        <row r="1098">
          <cell r="B1098" t="str">
            <v>KOTA PANGKAL PINANG</v>
          </cell>
          <cell r="C1098" t="str">
            <v>GABEK</v>
          </cell>
          <cell r="D1098" t="str">
            <v>SELINDUNG BARU</v>
          </cell>
        </row>
        <row r="1099">
          <cell r="B1099" t="str">
            <v>KOTA PANGKAL PINANG</v>
          </cell>
          <cell r="C1099" t="str">
            <v>GABEK</v>
          </cell>
          <cell r="D1099" t="str">
            <v>GABEK SATU</v>
          </cell>
        </row>
        <row r="1100">
          <cell r="B1100" t="str">
            <v>KOTA PANGKAL PINANG</v>
          </cell>
          <cell r="C1100" t="str">
            <v>GABEK</v>
          </cell>
          <cell r="D1100" t="str">
            <v>GABEK SATU</v>
          </cell>
        </row>
        <row r="1101">
          <cell r="B1101" t="str">
            <v>KOTA PANGKAL PINANG</v>
          </cell>
          <cell r="C1101" t="str">
            <v>GABEK</v>
          </cell>
          <cell r="D1101" t="str">
            <v>GABEK SATU</v>
          </cell>
        </row>
        <row r="1102">
          <cell r="B1102" t="str">
            <v>KOTA PANGKAL PINANG</v>
          </cell>
          <cell r="C1102" t="str">
            <v>GABEK</v>
          </cell>
          <cell r="D1102" t="str">
            <v>GABEK SATU</v>
          </cell>
        </row>
        <row r="1103">
          <cell r="B1103" t="str">
            <v>NAMA KABUPATEN/KOTA</v>
          </cell>
          <cell r="C1103" t="str">
            <v>NAMA KECAMATAN</v>
          </cell>
          <cell r="D1103" t="str">
            <v>NAMA KELURAHAN</v>
          </cell>
        </row>
        <row r="1108">
          <cell r="B1108" t="str">
            <v>KOTA PANGKAL PINANG</v>
          </cell>
          <cell r="C1108" t="str">
            <v>GABEK</v>
          </cell>
          <cell r="D1108" t="str">
            <v>GABEK DUA</v>
          </cell>
        </row>
        <row r="1109">
          <cell r="B1109" t="str">
            <v>KOTA PANGKAL PINANG</v>
          </cell>
          <cell r="C1109" t="str">
            <v>GABEK</v>
          </cell>
          <cell r="D1109" t="str">
            <v>GABEK DUA</v>
          </cell>
        </row>
        <row r="1110">
          <cell r="B1110" t="str">
            <v>KOTA PANGKAL PINANG</v>
          </cell>
          <cell r="C1110" t="str">
            <v>GABEK</v>
          </cell>
          <cell r="D1110" t="str">
            <v>GABEK DUA</v>
          </cell>
        </row>
        <row r="1111">
          <cell r="B1111" t="str">
            <v>KOTA PANGKAL PINANG</v>
          </cell>
          <cell r="C1111" t="str">
            <v>GABEK</v>
          </cell>
          <cell r="D1111" t="str">
            <v>GABEK DUA</v>
          </cell>
        </row>
        <row r="1112">
          <cell r="B1112" t="str">
            <v>KOTA PANGKAL PINANG</v>
          </cell>
          <cell r="C1112" t="str">
            <v>GABEK</v>
          </cell>
          <cell r="D1112" t="str">
            <v>AIR SALEMBA</v>
          </cell>
        </row>
        <row r="1113">
          <cell r="B1113" t="str">
            <v>KOTA PANGKAL PINANG</v>
          </cell>
          <cell r="C1113" t="str">
            <v>GABEK</v>
          </cell>
          <cell r="D1113" t="str">
            <v>AIR SALEMBA</v>
          </cell>
        </row>
        <row r="1114">
          <cell r="B1114" t="str">
            <v>KOTA PANGKAL PINANG</v>
          </cell>
          <cell r="C1114" t="str">
            <v>GABEK</v>
          </cell>
          <cell r="D1114" t="str">
            <v>AIR SALEMBA</v>
          </cell>
        </row>
        <row r="1115">
          <cell r="B1115" t="str">
            <v>KOTA PANGKAL PINANG</v>
          </cell>
          <cell r="C1115" t="str">
            <v>GABEK</v>
          </cell>
          <cell r="D1115" t="str">
            <v>JERAMBAH GANTUNG</v>
          </cell>
        </row>
        <row r="1116">
          <cell r="B1116" t="str">
            <v>KOTA PANGKAL PINANG</v>
          </cell>
          <cell r="C1116" t="str">
            <v>GABEK</v>
          </cell>
          <cell r="D1116" t="str">
            <v>JERAMBAH GANTUNG</v>
          </cell>
        </row>
        <row r="1117">
          <cell r="B1117" t="str">
            <v>KOTA PANGKAL PINANG</v>
          </cell>
          <cell r="C1117" t="str">
            <v>GABEK</v>
          </cell>
          <cell r="D1117" t="str">
            <v>JERAMBAH GANTUNG</v>
          </cell>
        </row>
        <row r="1118">
          <cell r="B1118" t="str">
            <v>KOTA PANGKAL PINANG</v>
          </cell>
          <cell r="C1118" t="str">
            <v>GABEK</v>
          </cell>
          <cell r="D1118" t="str">
            <v>JERAMBAH GANTUNG</v>
          </cell>
        </row>
        <row r="1119">
          <cell r="B1119" t="str">
            <v>KOTA PANGKAL PINANG</v>
          </cell>
          <cell r="C1119" t="str">
            <v>GIRIMAYA</v>
          </cell>
          <cell r="D1119" t="str">
            <v>PASAR PADI</v>
          </cell>
        </row>
        <row r="1120">
          <cell r="B1120" t="str">
            <v>KOTA PANGKAL PINANG</v>
          </cell>
          <cell r="C1120" t="str">
            <v>GIRIMAYA</v>
          </cell>
          <cell r="D1120" t="str">
            <v>PASAR PADI</v>
          </cell>
        </row>
        <row r="1121">
          <cell r="B1121" t="str">
            <v>KOTA PANGKAL PINANG</v>
          </cell>
          <cell r="C1121" t="str">
            <v>GIRIMAYA</v>
          </cell>
          <cell r="D1121" t="str">
            <v>BATU INTAN</v>
          </cell>
        </row>
        <row r="1122">
          <cell r="B1122" t="str">
            <v>KOTA PANGKAL PINANG</v>
          </cell>
          <cell r="C1122" t="str">
            <v>GIRIMAYA</v>
          </cell>
          <cell r="D1122" t="str">
            <v>BATU INTAN</v>
          </cell>
        </row>
        <row r="1123">
          <cell r="B1123" t="str">
            <v>KOTA PANGKAL PINANG</v>
          </cell>
          <cell r="C1123" t="str">
            <v>GIRIMAYA</v>
          </cell>
          <cell r="D1123" t="str">
            <v>BUKIT BESAR</v>
          </cell>
        </row>
        <row r="1124">
          <cell r="B1124" t="str">
            <v>KOTA PANGKAL PINANG</v>
          </cell>
          <cell r="C1124" t="str">
            <v>GIRIMAYA</v>
          </cell>
          <cell r="D1124" t="str">
            <v>BUKIT BESAR</v>
          </cell>
        </row>
        <row r="1125">
          <cell r="B1125" t="str">
            <v>KOTA PANGKAL PINANG</v>
          </cell>
          <cell r="C1125" t="str">
            <v>GIRIMAYA</v>
          </cell>
          <cell r="D1125" t="str">
            <v>BUKIT BESAR</v>
          </cell>
        </row>
        <row r="1126">
          <cell r="B1126" t="str">
            <v>KOTA PANGKAL PINANG</v>
          </cell>
          <cell r="C1126" t="str">
            <v>GIRIMAYA</v>
          </cell>
          <cell r="D1126" t="str">
            <v>BUKIT BESAR</v>
          </cell>
        </row>
        <row r="1127">
          <cell r="B1127" t="str">
            <v>KOTA PANGKAL PINANG</v>
          </cell>
          <cell r="C1127" t="str">
            <v>GIRIMAYA</v>
          </cell>
          <cell r="D1127" t="str">
            <v>BUKIT BESAR</v>
          </cell>
        </row>
        <row r="1128">
          <cell r="B1128" t="str">
            <v>KOTA PANGKAL PINANG</v>
          </cell>
          <cell r="C1128" t="str">
            <v>GIRIMAYA</v>
          </cell>
          <cell r="D1128" t="str">
            <v>SRIWIJAYA</v>
          </cell>
        </row>
        <row r="1129">
          <cell r="B1129" t="str">
            <v>KOTA PANGKAL PINANG</v>
          </cell>
          <cell r="C1129" t="str">
            <v>GIRIMAYA</v>
          </cell>
          <cell r="D1129" t="str">
            <v>SRIWIJAYA</v>
          </cell>
        </row>
        <row r="1130">
          <cell r="B1130" t="str">
            <v>KOTA PANGKAL PINANG</v>
          </cell>
          <cell r="C1130" t="str">
            <v>GIRIMAYA</v>
          </cell>
          <cell r="D1130" t="str">
            <v>SRIWIJAYA</v>
          </cell>
        </row>
        <row r="1131">
          <cell r="B1131" t="str">
            <v>KOTA PANGKAL PINANG</v>
          </cell>
          <cell r="C1131" t="str">
            <v>GIRIMAYA</v>
          </cell>
          <cell r="D1131" t="str">
            <v>SRIWIJAYA</v>
          </cell>
        </row>
        <row r="1132">
          <cell r="B1132" t="str">
            <v>KOTA PANGKAL PINANG</v>
          </cell>
          <cell r="C1132" t="str">
            <v>GIRIMAYA</v>
          </cell>
          <cell r="D1132" t="str">
            <v>SRIWIJAYA</v>
          </cell>
        </row>
        <row r="1133">
          <cell r="B1133" t="str">
            <v>KOTA PANGKAL PINANG</v>
          </cell>
          <cell r="C1133" t="str">
            <v>GIRIMAYA</v>
          </cell>
          <cell r="D1133" t="str">
            <v>SEMABUNG BARU</v>
          </cell>
        </row>
        <row r="1134">
          <cell r="B1134" t="str">
            <v>KOTA PANGKAL PINANG</v>
          </cell>
          <cell r="C1134" t="str">
            <v>GIRIMAYA</v>
          </cell>
          <cell r="D1134" t="str">
            <v>SEMABUNG BARU</v>
          </cell>
        </row>
        <row r="1135">
          <cell r="B1135" t="str">
            <v>KOTA PANGKAL PINANG</v>
          </cell>
          <cell r="C1135" t="str">
            <v>GIRIMAYA</v>
          </cell>
          <cell r="D1135" t="str">
            <v>SEMABUNG BARU</v>
          </cell>
        </row>
        <row r="1136">
          <cell r="B1136" t="str">
            <v>KOTA PANGKAL PINANG</v>
          </cell>
          <cell r="C1136" t="str">
            <v>GIRIMAYA</v>
          </cell>
          <cell r="D1136" t="str">
            <v>SEMABUNG BARU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62D4-E7DB-45E7-8FC4-F33405273F5C}">
  <sheetPr codeName="Sheet10">
    <outlinePr summaryBelow="0" summaryRight="0"/>
  </sheetPr>
  <dimension ref="A1:E397"/>
  <sheetViews>
    <sheetView tabSelected="1" workbookViewId="0">
      <selection activeCell="H9" sqref="H9"/>
    </sheetView>
  </sheetViews>
  <sheetFormatPr defaultColWidth="12.5703125" defaultRowHeight="15.75" customHeight="1" x14ac:dyDescent="0.2"/>
  <cols>
    <col min="1" max="1" width="4" customWidth="1"/>
    <col min="2" max="2" width="23.140625" customWidth="1"/>
    <col min="3" max="3" width="19.28515625" customWidth="1"/>
    <col min="4" max="4" width="22.140625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/>
      <c r="B2" s="3"/>
      <c r="C2" s="3"/>
      <c r="D2" s="3"/>
      <c r="E2" s="3"/>
    </row>
    <row r="3" spans="1:5" x14ac:dyDescent="0.2">
      <c r="A3" s="3"/>
      <c r="B3" s="3"/>
      <c r="C3" s="3"/>
      <c r="D3" s="3"/>
      <c r="E3" s="3"/>
    </row>
    <row r="4" spans="1:5" x14ac:dyDescent="0.2">
      <c r="A4" s="4"/>
      <c r="B4" s="4"/>
      <c r="C4" s="4"/>
      <c r="D4" s="4"/>
      <c r="E4" s="4"/>
    </row>
    <row r="5" spans="1:5" x14ac:dyDescent="0.2">
      <c r="A5" s="5">
        <v>1</v>
      </c>
      <c r="B5" s="6" t="s">
        <v>5</v>
      </c>
      <c r="C5" s="7" t="s">
        <v>6</v>
      </c>
      <c r="D5" s="7" t="s">
        <v>6</v>
      </c>
      <c r="E5" s="8">
        <f>COUNTIFS(
'[1]Detail TPK'!B:B,"BANGKA",
'[1]Detail TPK'!C:C,TRIM(C5),
'[1]Detail TPK'!D:D,TRIM(D5)
)</f>
        <v>8</v>
      </c>
    </row>
    <row r="6" spans="1:5" x14ac:dyDescent="0.2">
      <c r="A6" s="5">
        <v>2</v>
      </c>
      <c r="B6" s="6" t="s">
        <v>5</v>
      </c>
      <c r="C6" s="7" t="s">
        <v>6</v>
      </c>
      <c r="D6" s="7" t="s">
        <v>7</v>
      </c>
      <c r="E6" s="8">
        <f>COUNTIFS(
'[1]Detail TPK'!B:B,"BANGKA",
'[1]Detail TPK'!C:C,TRIM(C6),
'[1]Detail TPK'!D:D,TRIM(D6)
)</f>
        <v>6</v>
      </c>
    </row>
    <row r="7" spans="1:5" x14ac:dyDescent="0.2">
      <c r="A7" s="5">
        <v>3</v>
      </c>
      <c r="B7" s="6" t="s">
        <v>5</v>
      </c>
      <c r="C7" s="7" t="s">
        <v>6</v>
      </c>
      <c r="D7" s="7" t="s">
        <v>8</v>
      </c>
      <c r="E7" s="8">
        <f>COUNTIFS(
'[1]Detail TPK'!B:B,"BANGKA",
'[1]Detail TPK'!C:C,TRIM(C7),
'[1]Detail TPK'!D:D,TRIM(D7)
)</f>
        <v>3</v>
      </c>
    </row>
    <row r="8" spans="1:5" x14ac:dyDescent="0.2">
      <c r="A8" s="5">
        <v>4</v>
      </c>
      <c r="B8" s="6" t="s">
        <v>5</v>
      </c>
      <c r="C8" s="7" t="s">
        <v>6</v>
      </c>
      <c r="D8" s="7" t="s">
        <v>9</v>
      </c>
      <c r="E8" s="8">
        <f>COUNTIFS(
'[1]Detail TPK'!B:B,"BANGKA",
'[1]Detail TPK'!C:C,TRIM(C8),
'[1]Detail TPK'!D:D,TRIM(D8)
)</f>
        <v>2</v>
      </c>
    </row>
    <row r="9" spans="1:5" x14ac:dyDescent="0.2">
      <c r="A9" s="5">
        <v>5</v>
      </c>
      <c r="B9" s="6" t="s">
        <v>5</v>
      </c>
      <c r="C9" s="7" t="s">
        <v>6</v>
      </c>
      <c r="D9" s="7" t="s">
        <v>10</v>
      </c>
      <c r="E9" s="8">
        <f>COUNTIFS(
'[1]Detail TPK'!B:B,"BANGKA",
'[1]Detail TPK'!C:C,TRIM(C9),
'[1]Detail TPK'!D:D,TRIM(D9)
)</f>
        <v>3</v>
      </c>
    </row>
    <row r="10" spans="1:5" x14ac:dyDescent="0.2">
      <c r="A10" s="5">
        <v>6</v>
      </c>
      <c r="B10" s="6" t="s">
        <v>5</v>
      </c>
      <c r="C10" s="7" t="s">
        <v>6</v>
      </c>
      <c r="D10" s="7" t="s">
        <v>11</v>
      </c>
      <c r="E10" s="8">
        <f>COUNTIFS(
'[1]Detail TPK'!B:B,"BANGKA",
'[1]Detail TPK'!C:C,TRIM(C10),
'[1]Detail TPK'!D:D,TRIM(D10)
)</f>
        <v>4</v>
      </c>
    </row>
    <row r="11" spans="1:5" x14ac:dyDescent="0.2">
      <c r="A11" s="5">
        <v>7</v>
      </c>
      <c r="B11" s="6" t="s">
        <v>5</v>
      </c>
      <c r="C11" s="7" t="s">
        <v>6</v>
      </c>
      <c r="D11" s="7" t="s">
        <v>12</v>
      </c>
      <c r="E11" s="8">
        <f>COUNTIFS(
'[1]Detail TPK'!B:B,"BANGKA",
'[1]Detail TPK'!C:C,TRIM(C11),
'[1]Detail TPK'!D:D,TRIM(D11)
)</f>
        <v>3</v>
      </c>
    </row>
    <row r="12" spans="1:5" x14ac:dyDescent="0.2">
      <c r="A12" s="5">
        <v>8</v>
      </c>
      <c r="B12" s="6" t="s">
        <v>5</v>
      </c>
      <c r="C12" s="7" t="s">
        <v>6</v>
      </c>
      <c r="D12" s="7" t="s">
        <v>13</v>
      </c>
      <c r="E12" s="8">
        <f>COUNTIFS(
'[1]Detail TPK'!B:B,"BANGKA",
'[1]Detail TPK'!C:C,TRIM(C12),
'[1]Detail TPK'!D:D,TRIM(D12)
)</f>
        <v>2</v>
      </c>
    </row>
    <row r="13" spans="1:5" x14ac:dyDescent="0.2">
      <c r="A13" s="5">
        <v>9</v>
      </c>
      <c r="B13" s="6" t="s">
        <v>5</v>
      </c>
      <c r="C13" s="7" t="s">
        <v>6</v>
      </c>
      <c r="D13" s="7" t="s">
        <v>14</v>
      </c>
      <c r="E13" s="8">
        <f>COUNTIFS(
'[1]Detail TPK'!B:B,"BANGKA",
'[1]Detail TPK'!C:C,TRIM(C13),
'[1]Detail TPK'!D:D,TRIM(D13)
)</f>
        <v>3</v>
      </c>
    </row>
    <row r="14" spans="1:5" x14ac:dyDescent="0.2">
      <c r="A14" s="5">
        <v>10</v>
      </c>
      <c r="B14" s="6" t="s">
        <v>5</v>
      </c>
      <c r="C14" s="7" t="s">
        <v>6</v>
      </c>
      <c r="D14" s="7" t="s">
        <v>15</v>
      </c>
      <c r="E14" s="8">
        <f>COUNTIFS(
'[1]Detail TPK'!B:B,"BANGKA",
'[1]Detail TPK'!C:C,TRIM(C14),
'[1]Detail TPK'!D:D,TRIM(D14)
)</f>
        <v>2</v>
      </c>
    </row>
    <row r="15" spans="1:5" x14ac:dyDescent="0.2">
      <c r="A15" s="5">
        <v>11</v>
      </c>
      <c r="B15" s="6" t="s">
        <v>5</v>
      </c>
      <c r="C15" s="7" t="s">
        <v>6</v>
      </c>
      <c r="D15" s="7" t="s">
        <v>16</v>
      </c>
      <c r="E15" s="8">
        <f>COUNTIFS(
'[1]Detail TPK'!B:B,"BANGKA",
'[1]Detail TPK'!C:C,TRIM(C15),
'[1]Detail TPK'!D:D,TRIM(D15)
)</f>
        <v>2</v>
      </c>
    </row>
    <row r="16" spans="1:5" x14ac:dyDescent="0.2">
      <c r="A16" s="5">
        <v>12</v>
      </c>
      <c r="B16" s="6" t="s">
        <v>5</v>
      </c>
      <c r="C16" s="7" t="s">
        <v>6</v>
      </c>
      <c r="D16" s="7" t="s">
        <v>17</v>
      </c>
      <c r="E16" s="8">
        <f>COUNTIFS(
'[1]Detail TPK'!B:B,"BANGKA",
'[1]Detail TPK'!C:C,TRIM(C16),
'[1]Detail TPK'!D:D,TRIM(D16)
)</f>
        <v>3</v>
      </c>
    </row>
    <row r="17" spans="1:5" x14ac:dyDescent="0.2">
      <c r="A17" s="5">
        <v>13</v>
      </c>
      <c r="B17" s="6" t="s">
        <v>5</v>
      </c>
      <c r="C17" s="7" t="s">
        <v>6</v>
      </c>
      <c r="D17" s="7" t="s">
        <v>18</v>
      </c>
      <c r="E17" s="8">
        <f>COUNTIFS(
'[1]Detail TPK'!B:B,"BANGKA",
'[1]Detail TPK'!C:C,TRIM(C17),
'[1]Detail TPK'!D:D,TRIM(D17)
)</f>
        <v>3</v>
      </c>
    </row>
    <row r="18" spans="1:5" x14ac:dyDescent="0.2">
      <c r="A18" s="5">
        <v>14</v>
      </c>
      <c r="B18" s="6" t="s">
        <v>5</v>
      </c>
      <c r="C18" s="7" t="s">
        <v>19</v>
      </c>
      <c r="D18" s="7" t="s">
        <v>20</v>
      </c>
      <c r="E18" s="8">
        <f>COUNTIFS(
'[1]Detail TPK'!B:B,"BANGKA",
'[1]Detail TPK'!C:C,TRIM(C18),
'[1]Detail TPK'!D:D,TRIM(D18)
)</f>
        <v>6</v>
      </c>
    </row>
    <row r="19" spans="1:5" x14ac:dyDescent="0.2">
      <c r="A19" s="5">
        <v>15</v>
      </c>
      <c r="B19" s="6" t="s">
        <v>5</v>
      </c>
      <c r="C19" s="7" t="s">
        <v>19</v>
      </c>
      <c r="D19" s="7" t="s">
        <v>21</v>
      </c>
      <c r="E19" s="8">
        <f>COUNTIFS(
'[1]Detail TPK'!B:B,"BANGKA",
'[1]Detail TPK'!C:C,TRIM(C19),
'[1]Detail TPK'!D:D,TRIM(D19)
)</f>
        <v>3</v>
      </c>
    </row>
    <row r="20" spans="1:5" x14ac:dyDescent="0.2">
      <c r="A20" s="5">
        <v>16</v>
      </c>
      <c r="B20" s="6" t="s">
        <v>5</v>
      </c>
      <c r="C20" s="7" t="s">
        <v>19</v>
      </c>
      <c r="D20" s="7" t="s">
        <v>22</v>
      </c>
      <c r="E20" s="8">
        <f>COUNTIFS(
'[1]Detail TPK'!B:B,"BANGKA",
'[1]Detail TPK'!C:C,TRIM(C20),
'[1]Detail TPK'!D:D,TRIM(D20)
)</f>
        <v>3</v>
      </c>
    </row>
    <row r="21" spans="1:5" x14ac:dyDescent="0.2">
      <c r="A21" s="5">
        <v>17</v>
      </c>
      <c r="B21" s="6" t="s">
        <v>5</v>
      </c>
      <c r="C21" s="7" t="s">
        <v>19</v>
      </c>
      <c r="D21" s="7" t="s">
        <v>23</v>
      </c>
      <c r="E21" s="8">
        <f>COUNTIFS(
'[1]Detail TPK'!B:B,"BANGKA",
'[1]Detail TPK'!C:C,TRIM(C21),
'[1]Detail TPK'!D:D,TRIM(D21)
)</f>
        <v>2</v>
      </c>
    </row>
    <row r="22" spans="1:5" x14ac:dyDescent="0.2">
      <c r="A22" s="5">
        <v>18</v>
      </c>
      <c r="B22" s="6" t="s">
        <v>5</v>
      </c>
      <c r="C22" s="7" t="s">
        <v>19</v>
      </c>
      <c r="D22" s="7" t="s">
        <v>24</v>
      </c>
      <c r="E22" s="8">
        <f>COUNTIFS(
'[1]Detail TPK'!B:B,"BANGKA",
'[1]Detail TPK'!C:C,TRIM(C22),
'[1]Detail TPK'!D:D,TRIM(D22)
)</f>
        <v>3</v>
      </c>
    </row>
    <row r="23" spans="1:5" x14ac:dyDescent="0.2">
      <c r="A23" s="5">
        <v>19</v>
      </c>
      <c r="B23" s="6" t="s">
        <v>5</v>
      </c>
      <c r="C23" s="7" t="s">
        <v>19</v>
      </c>
      <c r="D23" s="7" t="s">
        <v>25</v>
      </c>
      <c r="E23" s="8">
        <f>COUNTIFS(
'[1]Detail TPK'!B:B,"BANGKA",
'[1]Detail TPK'!C:C,TRIM(C23),
'[1]Detail TPK'!D:D,TRIM(D23)
)</f>
        <v>3</v>
      </c>
    </row>
    <row r="24" spans="1:5" x14ac:dyDescent="0.2">
      <c r="A24" s="5">
        <v>20</v>
      </c>
      <c r="B24" s="6" t="s">
        <v>5</v>
      </c>
      <c r="C24" s="7" t="s">
        <v>19</v>
      </c>
      <c r="D24" s="7" t="s">
        <v>19</v>
      </c>
      <c r="E24" s="8">
        <f>COUNTIFS(
'[1]Detail TPK'!B:B,"BANGKA",
'[1]Detail TPK'!C:C,TRIM(C24),
'[1]Detail TPK'!D:D,TRIM(D24)
)</f>
        <v>4</v>
      </c>
    </row>
    <row r="25" spans="1:5" x14ac:dyDescent="0.2">
      <c r="A25" s="5">
        <v>21</v>
      </c>
      <c r="B25" s="6" t="s">
        <v>5</v>
      </c>
      <c r="C25" s="7" t="s">
        <v>19</v>
      </c>
      <c r="D25" s="7" t="s">
        <v>26</v>
      </c>
      <c r="E25" s="8">
        <f>COUNTIFS(
'[1]Detail TPK'!B:B,"BANGKA",
'[1]Detail TPK'!C:C,TRIM(C25),
'[1]Detail TPK'!D:D,TRIM(D25)
)</f>
        <v>5</v>
      </c>
    </row>
    <row r="26" spans="1:5" x14ac:dyDescent="0.2">
      <c r="A26" s="5">
        <v>22</v>
      </c>
      <c r="B26" s="6" t="s">
        <v>5</v>
      </c>
      <c r="C26" s="7" t="s">
        <v>19</v>
      </c>
      <c r="D26" s="7" t="s">
        <v>27</v>
      </c>
      <c r="E26" s="8">
        <f>COUNTIFS(
'[1]Detail TPK'!B:B,"BANGKA",
'[1]Detail TPK'!C:C,TRIM(C26),
'[1]Detail TPK'!D:D,TRIM(D26)
)</f>
        <v>3</v>
      </c>
    </row>
    <row r="27" spans="1:5" x14ac:dyDescent="0.2">
      <c r="A27" s="5">
        <v>23</v>
      </c>
      <c r="B27" s="6" t="s">
        <v>5</v>
      </c>
      <c r="C27" s="7" t="s">
        <v>19</v>
      </c>
      <c r="D27" s="7" t="s">
        <v>28</v>
      </c>
      <c r="E27" s="8">
        <f>COUNTIFS(
'[1]Detail TPK'!B:B,"BANGKA",
'[1]Detail TPK'!C:C,TRIM(C27),
'[1]Detail TPK'!D:D,TRIM(D27)
)</f>
        <v>4</v>
      </c>
    </row>
    <row r="28" spans="1:5" x14ac:dyDescent="0.2">
      <c r="A28" s="5">
        <v>24</v>
      </c>
      <c r="B28" s="6" t="s">
        <v>5</v>
      </c>
      <c r="C28" s="7" t="s">
        <v>19</v>
      </c>
      <c r="D28" s="7" t="s">
        <v>29</v>
      </c>
      <c r="E28" s="8">
        <f>COUNTIFS(
'[1]Detail TPK'!B:B,"BANGKA",
'[1]Detail TPK'!C:C,TRIM(C28),
'[1]Detail TPK'!D:D,TRIM(D28)
)</f>
        <v>2</v>
      </c>
    </row>
    <row r="29" spans="1:5" x14ac:dyDescent="0.2">
      <c r="A29" s="5">
        <v>25</v>
      </c>
      <c r="B29" s="6" t="s">
        <v>5</v>
      </c>
      <c r="C29" s="7" t="s">
        <v>19</v>
      </c>
      <c r="D29" s="7" t="s">
        <v>30</v>
      </c>
      <c r="E29" s="8">
        <f>COUNTIFS(
'[1]Detail TPK'!B:B,"BANGKA",
'[1]Detail TPK'!C:C,TRIM(C29),
'[1]Detail TPK'!D:D,TRIM(D29)
)</f>
        <v>2</v>
      </c>
    </row>
    <row r="30" spans="1:5" x14ac:dyDescent="0.2">
      <c r="A30" s="5">
        <v>26</v>
      </c>
      <c r="B30" s="6" t="s">
        <v>5</v>
      </c>
      <c r="C30" s="7" t="s">
        <v>31</v>
      </c>
      <c r="D30" s="7" t="s">
        <v>32</v>
      </c>
      <c r="E30" s="8">
        <f>COUNTIFS(
'[1]Detail TPK'!B:B,"BANGKA",
'[1]Detail TPK'!C:C,TRIM(C30),
'[1]Detail TPK'!D:D,TRIM(D30)
)</f>
        <v>3</v>
      </c>
    </row>
    <row r="31" spans="1:5" x14ac:dyDescent="0.2">
      <c r="A31" s="5">
        <v>27</v>
      </c>
      <c r="B31" s="6" t="s">
        <v>5</v>
      </c>
      <c r="C31" s="7" t="s">
        <v>31</v>
      </c>
      <c r="D31" s="7" t="s">
        <v>33</v>
      </c>
      <c r="E31" s="8">
        <f>COUNTIFS(
'[1]Detail TPK'!B:B,"BANGKA",
'[1]Detail TPK'!C:C,TRIM(C31),
'[1]Detail TPK'!D:D,TRIM(D31)
)</f>
        <v>4</v>
      </c>
    </row>
    <row r="32" spans="1:5" x14ac:dyDescent="0.2">
      <c r="A32" s="5">
        <v>28</v>
      </c>
      <c r="B32" s="6" t="s">
        <v>5</v>
      </c>
      <c r="C32" s="7" t="s">
        <v>31</v>
      </c>
      <c r="D32" s="7" t="s">
        <v>28</v>
      </c>
      <c r="E32" s="8">
        <f>COUNTIFS(
'[1]Detail TPK'!B:B,"BANGKA",
'[1]Detail TPK'!C:C,TRIM(C32),
'[1]Detail TPK'!D:D,TRIM(D32)
)</f>
        <v>3</v>
      </c>
    </row>
    <row r="33" spans="1:5" x14ac:dyDescent="0.2">
      <c r="A33" s="5">
        <v>29</v>
      </c>
      <c r="B33" s="6" t="s">
        <v>5</v>
      </c>
      <c r="C33" s="7" t="s">
        <v>31</v>
      </c>
      <c r="D33" s="7" t="s">
        <v>34</v>
      </c>
      <c r="E33" s="8">
        <f>COUNTIFS(
'[1]Detail TPK'!B:B,"BANGKA",
'[1]Detail TPK'!C:C,TRIM(C33),
'[1]Detail TPK'!D:D,TRIM(D33)
)</f>
        <v>2</v>
      </c>
    </row>
    <row r="34" spans="1:5" x14ac:dyDescent="0.2">
      <c r="A34" s="5">
        <v>30</v>
      </c>
      <c r="B34" s="6" t="s">
        <v>5</v>
      </c>
      <c r="C34" s="7" t="s">
        <v>31</v>
      </c>
      <c r="D34" s="7" t="s">
        <v>35</v>
      </c>
      <c r="E34" s="8">
        <f>COUNTIFS(
'[1]Detail TPK'!B:B,"BANGKA",
'[1]Detail TPK'!C:C,TRIM(C34),
'[1]Detail TPK'!D:D,TRIM(D34)
)</f>
        <v>3</v>
      </c>
    </row>
    <row r="35" spans="1:5" x14ac:dyDescent="0.2">
      <c r="A35" s="5">
        <v>31</v>
      </c>
      <c r="B35" s="6" t="s">
        <v>5</v>
      </c>
      <c r="C35" s="7" t="s">
        <v>31</v>
      </c>
      <c r="D35" s="7" t="s">
        <v>36</v>
      </c>
      <c r="E35" s="8">
        <f>COUNTIFS(
'[1]Detail TPK'!B:B,"BANGKA",
'[1]Detail TPK'!C:C,TRIM(C35),
'[1]Detail TPK'!D:D,TRIM(D35)
)</f>
        <v>3</v>
      </c>
    </row>
    <row r="36" spans="1:5" x14ac:dyDescent="0.2">
      <c r="A36" s="5">
        <v>32</v>
      </c>
      <c r="B36" s="6" t="s">
        <v>5</v>
      </c>
      <c r="C36" s="7" t="s">
        <v>31</v>
      </c>
      <c r="D36" s="7" t="s">
        <v>31</v>
      </c>
      <c r="E36" s="8">
        <f>COUNTIFS(
'[1]Detail TPK'!B:B,"BANGKA",
'[1]Detail TPK'!C:C,TRIM(C36),
'[1]Detail TPK'!D:D,TRIM(D36)
)</f>
        <v>2</v>
      </c>
    </row>
    <row r="37" spans="1:5" x14ac:dyDescent="0.2">
      <c r="A37" s="5">
        <v>33</v>
      </c>
      <c r="B37" s="6" t="s">
        <v>5</v>
      </c>
      <c r="C37" s="7" t="s">
        <v>31</v>
      </c>
      <c r="D37" s="7" t="s">
        <v>37</v>
      </c>
      <c r="E37" s="8">
        <f>COUNTIFS(
'[1]Detail TPK'!B:B,"BANGKA",
'[1]Detail TPK'!C:C,TRIM(C37),
'[1]Detail TPK'!D:D,TRIM(D37)
)</f>
        <v>2</v>
      </c>
    </row>
    <row r="38" spans="1:5" x14ac:dyDescent="0.2">
      <c r="A38" s="5">
        <v>34</v>
      </c>
      <c r="B38" s="6" t="s">
        <v>5</v>
      </c>
      <c r="C38" s="7" t="s">
        <v>31</v>
      </c>
      <c r="D38" s="7" t="s">
        <v>38</v>
      </c>
      <c r="E38" s="8">
        <f>COUNTIFS(
'[1]Detail TPK'!B:B,"BANGKA",
'[1]Detail TPK'!C:C,TRIM(C38),
'[1]Detail TPK'!D:D,TRIM(D38)
)</f>
        <v>1</v>
      </c>
    </row>
    <row r="39" spans="1:5" x14ac:dyDescent="0.2">
      <c r="A39" s="5">
        <v>35</v>
      </c>
      <c r="B39" s="6" t="s">
        <v>5</v>
      </c>
      <c r="C39" s="7" t="s">
        <v>31</v>
      </c>
      <c r="D39" s="7" t="s">
        <v>39</v>
      </c>
      <c r="E39" s="8">
        <f>COUNTIFS(
'[1]Detail TPK'!B:B,"BANGKA",
'[1]Detail TPK'!C:C,TRIM(C39),
'[1]Detail TPK'!D:D,TRIM(D39)
)</f>
        <v>2</v>
      </c>
    </row>
    <row r="40" spans="1:5" x14ac:dyDescent="0.2">
      <c r="A40" s="5">
        <v>36</v>
      </c>
      <c r="B40" s="6" t="s">
        <v>5</v>
      </c>
      <c r="C40" s="7" t="s">
        <v>40</v>
      </c>
      <c r="D40" s="7" t="s">
        <v>41</v>
      </c>
      <c r="E40" s="8">
        <f>COUNTIFS(
'[1]Detail TPK'!B:B,"BANGKA",
'[1]Detail TPK'!C:C,TRIM(C40),
'[1]Detail TPK'!D:D,TRIM(D40)
)</f>
        <v>3</v>
      </c>
    </row>
    <row r="41" spans="1:5" x14ac:dyDescent="0.2">
      <c r="A41" s="5">
        <v>37</v>
      </c>
      <c r="B41" s="6" t="s">
        <v>5</v>
      </c>
      <c r="C41" s="7" t="s">
        <v>40</v>
      </c>
      <c r="D41" s="7" t="s">
        <v>42</v>
      </c>
      <c r="E41" s="8">
        <f>COUNTIFS(
'[1]Detail TPK'!B:B,"BANGKA",
'[1]Detail TPK'!C:C,TRIM(C41),
'[1]Detail TPK'!D:D,TRIM(D41)
)</f>
        <v>5</v>
      </c>
    </row>
    <row r="42" spans="1:5" x14ac:dyDescent="0.2">
      <c r="A42" s="5">
        <v>38</v>
      </c>
      <c r="B42" s="6" t="s">
        <v>5</v>
      </c>
      <c r="C42" s="7" t="s">
        <v>40</v>
      </c>
      <c r="D42" s="7" t="s">
        <v>43</v>
      </c>
      <c r="E42" s="8">
        <f>COUNTIFS(
'[1]Detail TPK'!B:B,"BANGKA",
'[1]Detail TPK'!C:C,TRIM(C42),
'[1]Detail TPK'!D:D,TRIM(D42)
)</f>
        <v>2</v>
      </c>
    </row>
    <row r="43" spans="1:5" x14ac:dyDescent="0.2">
      <c r="A43" s="5">
        <v>39</v>
      </c>
      <c r="B43" s="6" t="s">
        <v>5</v>
      </c>
      <c r="C43" s="7" t="s">
        <v>40</v>
      </c>
      <c r="D43" s="7" t="s">
        <v>44</v>
      </c>
      <c r="E43" s="8">
        <f>COUNTIFS(
'[1]Detail TPK'!B:B,"BANGKA",
'[1]Detail TPK'!C:C,TRIM(C43),
'[1]Detail TPK'!D:D,TRIM(D43)
)</f>
        <v>2</v>
      </c>
    </row>
    <row r="44" spans="1:5" x14ac:dyDescent="0.2">
      <c r="A44" s="5">
        <v>40</v>
      </c>
      <c r="B44" s="6" t="s">
        <v>5</v>
      </c>
      <c r="C44" s="7" t="s">
        <v>40</v>
      </c>
      <c r="D44" s="7" t="s">
        <v>45</v>
      </c>
      <c r="E44" s="8">
        <f>COUNTIFS(
'[1]Detail TPK'!B:B,"BANGKA",
'[1]Detail TPK'!C:C,TRIM(C44),
'[1]Detail TPK'!D:D,TRIM(D44)
)</f>
        <v>4</v>
      </c>
    </row>
    <row r="45" spans="1:5" x14ac:dyDescent="0.2">
      <c r="A45" s="5">
        <v>41</v>
      </c>
      <c r="B45" s="6" t="s">
        <v>5</v>
      </c>
      <c r="C45" s="7" t="s">
        <v>40</v>
      </c>
      <c r="D45" s="7" t="s">
        <v>46</v>
      </c>
      <c r="E45" s="8">
        <f>COUNTIFS(
'[1]Detail TPK'!B:B,"BANGKA",
'[1]Detail TPK'!C:C,TRIM(C45),
'[1]Detail TPK'!D:D,TRIM(D45)
)</f>
        <v>3</v>
      </c>
    </row>
    <row r="46" spans="1:5" x14ac:dyDescent="0.2">
      <c r="A46" s="5">
        <v>42</v>
      </c>
      <c r="B46" s="6" t="s">
        <v>5</v>
      </c>
      <c r="C46" s="7" t="s">
        <v>40</v>
      </c>
      <c r="D46" s="7" t="s">
        <v>47</v>
      </c>
      <c r="E46" s="8">
        <f>COUNTIFS(
'[1]Detail TPK'!B:B,"BANGKA",
'[1]Detail TPK'!C:C,TRIM(C46),
'[1]Detail TPK'!D:D,TRIM(D46)
)</f>
        <v>5</v>
      </c>
    </row>
    <row r="47" spans="1:5" x14ac:dyDescent="0.2">
      <c r="A47" s="5">
        <v>43</v>
      </c>
      <c r="B47" s="6" t="s">
        <v>5</v>
      </c>
      <c r="C47" s="7" t="s">
        <v>40</v>
      </c>
      <c r="D47" s="7" t="s">
        <v>48</v>
      </c>
      <c r="E47" s="8">
        <f>COUNTIFS(
'[1]Detail TPK'!B:B,"BANGKA",
'[1]Detail TPK'!C:C,TRIM(C47),
'[1]Detail TPK'!D:D,TRIM(D47)
)</f>
        <v>4</v>
      </c>
    </row>
    <row r="48" spans="1:5" x14ac:dyDescent="0.2">
      <c r="A48" s="5">
        <v>44</v>
      </c>
      <c r="B48" s="6" t="s">
        <v>5</v>
      </c>
      <c r="C48" s="7" t="s">
        <v>40</v>
      </c>
      <c r="D48" s="7" t="s">
        <v>49</v>
      </c>
      <c r="E48" s="8">
        <f>COUNTIFS(
'[1]Detail TPK'!B:B,"BANGKA",
'[1]Detail TPK'!C:C,TRIM(C48),
'[1]Detail TPK'!D:D,TRIM(D48)
)</f>
        <v>1</v>
      </c>
    </row>
    <row r="49" spans="1:5" x14ac:dyDescent="0.2">
      <c r="A49" s="5">
        <v>45</v>
      </c>
      <c r="B49" s="6" t="s">
        <v>5</v>
      </c>
      <c r="C49" s="7" t="s">
        <v>40</v>
      </c>
      <c r="D49" s="7" t="s">
        <v>50</v>
      </c>
      <c r="E49" s="8">
        <f>COUNTIFS(
'[1]Detail TPK'!B:B,"BANGKA",
'[1]Detail TPK'!C:C,TRIM(C49),
'[1]Detail TPK'!D:D,TRIM(D49)
)</f>
        <v>2</v>
      </c>
    </row>
    <row r="50" spans="1:5" x14ac:dyDescent="0.2">
      <c r="A50" s="5">
        <v>46</v>
      </c>
      <c r="B50" s="6" t="s">
        <v>5</v>
      </c>
      <c r="C50" s="7" t="s">
        <v>40</v>
      </c>
      <c r="D50" s="7" t="s">
        <v>51</v>
      </c>
      <c r="E50" s="8">
        <f>COUNTIFS(
'[1]Detail TPK'!B:B,"BANGKA",
'[1]Detail TPK'!C:C,TRIM(C50),
'[1]Detail TPK'!D:D,TRIM(D50)
)</f>
        <v>2</v>
      </c>
    </row>
    <row r="51" spans="1:5" x14ac:dyDescent="0.2">
      <c r="A51" s="5">
        <v>47</v>
      </c>
      <c r="B51" s="6" t="s">
        <v>5</v>
      </c>
      <c r="C51" s="7" t="s">
        <v>40</v>
      </c>
      <c r="D51" s="7" t="s">
        <v>52</v>
      </c>
      <c r="E51" s="8">
        <f>COUNTIFS(
'[1]Detail TPK'!B:B,"BANGKA",
'[1]Detail TPK'!C:C,TRIM(C51),
'[1]Detail TPK'!D:D,TRIM(D51)
)</f>
        <v>1</v>
      </c>
    </row>
    <row r="52" spans="1:5" x14ac:dyDescent="0.2">
      <c r="A52" s="5">
        <v>48</v>
      </c>
      <c r="B52" s="6" t="s">
        <v>5</v>
      </c>
      <c r="C52" s="7" t="s">
        <v>40</v>
      </c>
      <c r="D52" s="7" t="s">
        <v>53</v>
      </c>
      <c r="E52" s="8">
        <f>COUNTIFS(
'[1]Detail TPK'!B:B,"BANGKA",
'[1]Detail TPK'!C:C,TRIM(C52),
'[1]Detail TPK'!D:D,TRIM(D52)
)</f>
        <v>1</v>
      </c>
    </row>
    <row r="53" spans="1:5" x14ac:dyDescent="0.2">
      <c r="A53" s="5">
        <v>49</v>
      </c>
      <c r="B53" s="6" t="s">
        <v>5</v>
      </c>
      <c r="C53" s="7" t="s">
        <v>40</v>
      </c>
      <c r="D53" s="7" t="s">
        <v>54</v>
      </c>
      <c r="E53" s="8">
        <f>COUNTIFS(
'[1]Detail TPK'!B:B,"BANGKA",
'[1]Detail TPK'!C:C,TRIM(C53),
'[1]Detail TPK'!D:D,TRIM(D53)
)</f>
        <v>4</v>
      </c>
    </row>
    <row r="54" spans="1:5" x14ac:dyDescent="0.2">
      <c r="A54" s="5">
        <v>50</v>
      </c>
      <c r="B54" s="6" t="s">
        <v>5</v>
      </c>
      <c r="C54" s="7" t="s">
        <v>40</v>
      </c>
      <c r="D54" s="7" t="s">
        <v>55</v>
      </c>
      <c r="E54" s="8">
        <f>COUNTIFS(
'[1]Detail TPK'!B:B,"BANGKA",
'[1]Detail TPK'!C:C,TRIM(C54),
'[1]Detail TPK'!D:D,TRIM(D54)
)</f>
        <v>3</v>
      </c>
    </row>
    <row r="55" spans="1:5" x14ac:dyDescent="0.2">
      <c r="A55" s="5">
        <v>51</v>
      </c>
      <c r="B55" s="6" t="s">
        <v>5</v>
      </c>
      <c r="C55" s="7" t="s">
        <v>56</v>
      </c>
      <c r="D55" s="7" t="s">
        <v>57</v>
      </c>
      <c r="E55" s="8">
        <f>COUNTIFS(
'[1]Detail TPK'!B:B,"BANGKA",
'[1]Detail TPK'!C:C,TRIM(C55),
'[1]Detail TPK'!D:D,TRIM(D55)
)</f>
        <v>6</v>
      </c>
    </row>
    <row r="56" spans="1:5" x14ac:dyDescent="0.2">
      <c r="A56" s="5">
        <v>52</v>
      </c>
      <c r="B56" s="6" t="s">
        <v>5</v>
      </c>
      <c r="C56" s="7" t="s">
        <v>56</v>
      </c>
      <c r="D56" s="7" t="s">
        <v>49</v>
      </c>
      <c r="E56" s="8">
        <f>COUNTIFS(
'[1]Detail TPK'!B:B,"BANGKA",
'[1]Detail TPK'!C:C,TRIM(C56),
'[1]Detail TPK'!D:D,TRIM(D56)
)</f>
        <v>3</v>
      </c>
    </row>
    <row r="57" spans="1:5" x14ac:dyDescent="0.2">
      <c r="A57" s="5">
        <v>53</v>
      </c>
      <c r="B57" s="6" t="s">
        <v>5</v>
      </c>
      <c r="C57" s="7" t="s">
        <v>56</v>
      </c>
      <c r="D57" s="7" t="s">
        <v>58</v>
      </c>
      <c r="E57" s="8">
        <f>COUNTIFS(
'[1]Detail TPK'!B:B,"BANGKA",
'[1]Detail TPK'!C:C,TRIM(C57),
'[1]Detail TPK'!D:D,TRIM(D57)
)</f>
        <v>4</v>
      </c>
    </row>
    <row r="58" spans="1:5" x14ac:dyDescent="0.2">
      <c r="A58" s="5">
        <v>54</v>
      </c>
      <c r="B58" s="6" t="s">
        <v>5</v>
      </c>
      <c r="C58" s="7" t="s">
        <v>56</v>
      </c>
      <c r="D58" s="7" t="s">
        <v>59</v>
      </c>
      <c r="E58" s="8">
        <f>COUNTIFS(
'[1]Detail TPK'!B:B,"BANGKA",
'[1]Detail TPK'!C:C,TRIM(C58),
'[1]Detail TPK'!D:D,TRIM(D58)
)</f>
        <v>3</v>
      </c>
    </row>
    <row r="59" spans="1:5" x14ac:dyDescent="0.2">
      <c r="A59" s="5">
        <v>55</v>
      </c>
      <c r="B59" s="6" t="s">
        <v>5</v>
      </c>
      <c r="C59" s="7" t="s">
        <v>56</v>
      </c>
      <c r="D59" s="7" t="s">
        <v>56</v>
      </c>
      <c r="E59" s="8">
        <f>COUNTIFS(
'[1]Detail TPK'!B:B,"BANGKA",
'[1]Detail TPK'!C:C,TRIM(C59),
'[1]Detail TPK'!D:D,TRIM(D59)
)</f>
        <v>3</v>
      </c>
    </row>
    <row r="60" spans="1:5" x14ac:dyDescent="0.2">
      <c r="A60" s="5">
        <v>56</v>
      </c>
      <c r="B60" s="6" t="s">
        <v>5</v>
      </c>
      <c r="C60" s="7" t="s">
        <v>56</v>
      </c>
      <c r="D60" s="7" t="s">
        <v>60</v>
      </c>
      <c r="E60" s="8">
        <f>COUNTIFS(
'[1]Detail TPK'!B:B,"BANGKA",
'[1]Detail TPK'!C:C,TRIM(C60),
'[1]Detail TPK'!D:D,TRIM(D60)
)</f>
        <v>4</v>
      </c>
    </row>
    <row r="61" spans="1:5" x14ac:dyDescent="0.2">
      <c r="A61" s="5">
        <v>57</v>
      </c>
      <c r="B61" s="6" t="s">
        <v>5</v>
      </c>
      <c r="C61" s="7" t="s">
        <v>61</v>
      </c>
      <c r="D61" s="7" t="s">
        <v>61</v>
      </c>
      <c r="E61" s="8">
        <f>COUNTIFS(
'[1]Detail TPK'!B:B,"BANGKA",
'[1]Detail TPK'!C:C,TRIM(C61),
'[1]Detail TPK'!D:D,TRIM(D61)
)</f>
        <v>2</v>
      </c>
    </row>
    <row r="62" spans="1:5" x14ac:dyDescent="0.2">
      <c r="A62" s="5">
        <v>58</v>
      </c>
      <c r="B62" s="6" t="s">
        <v>5</v>
      </c>
      <c r="C62" s="7" t="s">
        <v>61</v>
      </c>
      <c r="D62" s="7" t="s">
        <v>62</v>
      </c>
      <c r="E62" s="8">
        <f>COUNTIFS(
'[1]Detail TPK'!B:B,"BANGKA",
'[1]Detail TPK'!C:C,TRIM(C62),
'[1]Detail TPK'!D:D,TRIM(D62)
)</f>
        <v>1</v>
      </c>
    </row>
    <row r="63" spans="1:5" x14ac:dyDescent="0.2">
      <c r="A63" s="5">
        <v>59</v>
      </c>
      <c r="B63" s="6" t="s">
        <v>5</v>
      </c>
      <c r="C63" s="7" t="s">
        <v>61</v>
      </c>
      <c r="D63" s="7" t="s">
        <v>63</v>
      </c>
      <c r="E63" s="8">
        <f>COUNTIFS(
'[1]Detail TPK'!B:B,"BANGKA",
'[1]Detail TPK'!C:C,TRIM(C63),
'[1]Detail TPK'!D:D,TRIM(D63)
)</f>
        <v>3</v>
      </c>
    </row>
    <row r="64" spans="1:5" x14ac:dyDescent="0.2">
      <c r="A64" s="5">
        <v>60</v>
      </c>
      <c r="B64" s="6" t="s">
        <v>5</v>
      </c>
      <c r="C64" s="7" t="s">
        <v>61</v>
      </c>
      <c r="D64" s="7" t="s">
        <v>64</v>
      </c>
      <c r="E64" s="8">
        <f>COUNTIFS(
'[1]Detail TPK'!B:B,"BANGKA",
'[1]Detail TPK'!C:C,TRIM(C64),
'[1]Detail TPK'!D:D,TRIM(D64)
)</f>
        <v>2</v>
      </c>
    </row>
    <row r="65" spans="1:5" x14ac:dyDescent="0.2">
      <c r="A65" s="5">
        <v>61</v>
      </c>
      <c r="B65" s="6" t="s">
        <v>5</v>
      </c>
      <c r="C65" s="7" t="s">
        <v>61</v>
      </c>
      <c r="D65" s="7" t="s">
        <v>65</v>
      </c>
      <c r="E65" s="8">
        <f>COUNTIFS(
'[1]Detail TPK'!B:B,"BANGKA",
'[1]Detail TPK'!C:C,TRIM(C65),
'[1]Detail TPK'!D:D,TRIM(D65)
)</f>
        <v>2</v>
      </c>
    </row>
    <row r="66" spans="1:5" x14ac:dyDescent="0.2">
      <c r="A66" s="5">
        <v>62</v>
      </c>
      <c r="B66" s="6" t="s">
        <v>5</v>
      </c>
      <c r="C66" s="7" t="s">
        <v>61</v>
      </c>
      <c r="D66" s="7" t="s">
        <v>66</v>
      </c>
      <c r="E66" s="8">
        <f>COUNTIFS(
'[1]Detail TPK'!B:B,"BANGKA",
'[1]Detail TPK'!C:C,TRIM(C66),
'[1]Detail TPK'!D:D,TRIM(D66)
)</f>
        <v>1</v>
      </c>
    </row>
    <row r="67" spans="1:5" x14ac:dyDescent="0.2">
      <c r="A67" s="5">
        <v>63</v>
      </c>
      <c r="B67" s="6" t="s">
        <v>5</v>
      </c>
      <c r="C67" s="7" t="s">
        <v>61</v>
      </c>
      <c r="D67" s="7" t="s">
        <v>67</v>
      </c>
      <c r="E67" s="8">
        <f>COUNTIFS(
'[1]Detail TPK'!B:B,"BANGKA",
'[1]Detail TPK'!C:C,TRIM(C67),
'[1]Detail TPK'!D:D,TRIM(D67)
)</f>
        <v>2</v>
      </c>
    </row>
    <row r="68" spans="1:5" x14ac:dyDescent="0.2">
      <c r="A68" s="5">
        <v>64</v>
      </c>
      <c r="B68" s="6" t="s">
        <v>5</v>
      </c>
      <c r="C68" s="7" t="s">
        <v>61</v>
      </c>
      <c r="D68" s="7" t="s">
        <v>68</v>
      </c>
      <c r="E68" s="8">
        <f>COUNTIFS(
'[1]Detail TPK'!B:B,"BANGKA",
'[1]Detail TPK'!C:C,TRIM(C68),
'[1]Detail TPK'!D:D,TRIM(D68)
)</f>
        <v>3</v>
      </c>
    </row>
    <row r="69" spans="1:5" x14ac:dyDescent="0.2">
      <c r="A69" s="5">
        <v>65</v>
      </c>
      <c r="B69" s="6" t="s">
        <v>5</v>
      </c>
      <c r="C69" s="7" t="s">
        <v>61</v>
      </c>
      <c r="D69" s="7" t="s">
        <v>69</v>
      </c>
      <c r="E69" s="8">
        <f>COUNTIFS(
'[1]Detail TPK'!B:B,"BANGKA",
'[1]Detail TPK'!C:C,TRIM(C69),
'[1]Detail TPK'!D:D,TRIM(D69)
)</f>
        <v>1</v>
      </c>
    </row>
    <row r="70" spans="1:5" x14ac:dyDescent="0.2">
      <c r="A70" s="5">
        <v>66</v>
      </c>
      <c r="B70" s="6" t="s">
        <v>5</v>
      </c>
      <c r="C70" s="7" t="s">
        <v>70</v>
      </c>
      <c r="D70" s="7" t="s">
        <v>71</v>
      </c>
      <c r="E70" s="8">
        <f>COUNTIFS(
'[1]Detail TPK'!B:B,"BANGKA",
'[1]Detail TPK'!C:C,TRIM(C70),
'[1]Detail TPK'!D:D,TRIM(D70)
)</f>
        <v>3</v>
      </c>
    </row>
    <row r="71" spans="1:5" x14ac:dyDescent="0.2">
      <c r="A71" s="5">
        <v>67</v>
      </c>
      <c r="B71" s="6" t="s">
        <v>5</v>
      </c>
      <c r="C71" s="7" t="s">
        <v>70</v>
      </c>
      <c r="D71" s="7" t="s">
        <v>72</v>
      </c>
      <c r="E71" s="8">
        <f>COUNTIFS(
'[1]Detail TPK'!B:B,"BANGKA",
'[1]Detail TPK'!C:C,TRIM(C71),
'[1]Detail TPK'!D:D,TRIM(D71)
)</f>
        <v>3</v>
      </c>
    </row>
    <row r="72" spans="1:5" x14ac:dyDescent="0.2">
      <c r="A72" s="5">
        <v>68</v>
      </c>
      <c r="B72" s="6" t="s">
        <v>5</v>
      </c>
      <c r="C72" s="7" t="s">
        <v>70</v>
      </c>
      <c r="D72" s="7" t="s">
        <v>73</v>
      </c>
      <c r="E72" s="8">
        <f>COUNTIFS(
'[1]Detail TPK'!B:B,"BANGKA",
'[1]Detail TPK'!C:C,TRIM(C72),
'[1]Detail TPK'!D:D,TRIM(D72)
)</f>
        <v>3</v>
      </c>
    </row>
    <row r="73" spans="1:5" x14ac:dyDescent="0.2">
      <c r="A73" s="5">
        <v>69</v>
      </c>
      <c r="B73" s="6" t="s">
        <v>5</v>
      </c>
      <c r="C73" s="7" t="s">
        <v>70</v>
      </c>
      <c r="D73" s="7" t="s">
        <v>74</v>
      </c>
      <c r="E73" s="8">
        <f>COUNTIFS(
'[1]Detail TPK'!B:B,"BANGKA",
'[1]Detail TPK'!C:C,TRIM(C73),
'[1]Detail TPK'!D:D,TRIM(D73)
)</f>
        <v>4</v>
      </c>
    </row>
    <row r="74" spans="1:5" x14ac:dyDescent="0.2">
      <c r="A74" s="5">
        <v>70</v>
      </c>
      <c r="B74" s="6" t="s">
        <v>5</v>
      </c>
      <c r="C74" s="7" t="s">
        <v>70</v>
      </c>
      <c r="D74" s="7" t="s">
        <v>75</v>
      </c>
      <c r="E74" s="8">
        <f>COUNTIFS(
'[1]Detail TPK'!B:B,"BANGKA",
'[1]Detail TPK'!C:C,TRIM(C74),
'[1]Detail TPK'!D:D,TRIM(D74)
)</f>
        <v>2</v>
      </c>
    </row>
    <row r="75" spans="1:5" x14ac:dyDescent="0.2">
      <c r="A75" s="5">
        <v>71</v>
      </c>
      <c r="B75" s="6" t="s">
        <v>5</v>
      </c>
      <c r="C75" s="7" t="s">
        <v>70</v>
      </c>
      <c r="D75" s="7" t="s">
        <v>76</v>
      </c>
      <c r="E75" s="8">
        <f>COUNTIFS(
'[1]Detail TPK'!B:B,"BANGKA",
'[1]Detail TPK'!C:C,TRIM(C75),
'[1]Detail TPK'!D:D,TRIM(D75)
)</f>
        <v>2</v>
      </c>
    </row>
    <row r="76" spans="1:5" x14ac:dyDescent="0.2">
      <c r="A76" s="5">
        <v>72</v>
      </c>
      <c r="B76" s="6" t="s">
        <v>5</v>
      </c>
      <c r="C76" s="7" t="s">
        <v>70</v>
      </c>
      <c r="D76" s="7" t="s">
        <v>77</v>
      </c>
      <c r="E76" s="8">
        <f>COUNTIFS(
'[1]Detail TPK'!B:B,"BANGKA",
'[1]Detail TPK'!C:C,TRIM(C76),
'[1]Detail TPK'!D:D,TRIM(D76)
)</f>
        <v>2</v>
      </c>
    </row>
    <row r="77" spans="1:5" x14ac:dyDescent="0.2">
      <c r="A77" s="5">
        <v>73</v>
      </c>
      <c r="B77" s="6" t="s">
        <v>5</v>
      </c>
      <c r="C77" s="7" t="s">
        <v>70</v>
      </c>
      <c r="D77" s="7" t="s">
        <v>78</v>
      </c>
      <c r="E77" s="8">
        <f>COUNTIFS(
'[1]Detail TPK'!B:B,"BANGKA",
'[1]Detail TPK'!C:C,TRIM(C77),
'[1]Detail TPK'!D:D,TRIM(D77)
)</f>
        <v>1</v>
      </c>
    </row>
    <row r="78" spans="1:5" x14ac:dyDescent="0.2">
      <c r="A78" s="5">
        <v>74</v>
      </c>
      <c r="B78" s="6" t="s">
        <v>5</v>
      </c>
      <c r="C78" s="7" t="s">
        <v>70</v>
      </c>
      <c r="D78" s="7" t="s">
        <v>79</v>
      </c>
      <c r="E78" s="8">
        <f>COUNTIFS(
'[1]Detail TPK'!B:B,"BANGKA",
'[1]Detail TPK'!C:C,TRIM(C78),
'[1]Detail TPK'!D:D,TRIM(D78)
)</f>
        <v>1</v>
      </c>
    </row>
    <row r="79" spans="1:5" x14ac:dyDescent="0.2">
      <c r="A79" s="5">
        <v>75</v>
      </c>
      <c r="B79" s="6" t="s">
        <v>5</v>
      </c>
      <c r="C79" s="7" t="s">
        <v>80</v>
      </c>
      <c r="D79" s="7" t="s">
        <v>80</v>
      </c>
      <c r="E79" s="8">
        <f>COUNTIFS(
'[1]Detail TPK'!B:B,"BANGKA",
'[1]Detail TPK'!C:C,TRIM(C79),
'[1]Detail TPK'!D:D,TRIM(D79)
)</f>
        <v>4</v>
      </c>
    </row>
    <row r="80" spans="1:5" x14ac:dyDescent="0.2">
      <c r="A80" s="5">
        <v>76</v>
      </c>
      <c r="B80" s="6" t="s">
        <v>5</v>
      </c>
      <c r="C80" s="7" t="s">
        <v>80</v>
      </c>
      <c r="D80" s="7" t="s">
        <v>81</v>
      </c>
      <c r="E80" s="8">
        <f>COUNTIFS(
'[1]Detail TPK'!B:B,"BANGKA",
'[1]Detail TPK'!C:C,TRIM(C80),
'[1]Detail TPK'!D:D,TRIM(D80)
)</f>
        <v>2</v>
      </c>
    </row>
    <row r="81" spans="1:5" x14ac:dyDescent="0.2">
      <c r="A81" s="5">
        <v>77</v>
      </c>
      <c r="B81" s="6" t="s">
        <v>5</v>
      </c>
      <c r="C81" s="7" t="s">
        <v>80</v>
      </c>
      <c r="D81" s="7" t="s">
        <v>82</v>
      </c>
      <c r="E81" s="8">
        <f>COUNTIFS(
'[1]Detail TPK'!B:B,"BANGKA",
'[1]Detail TPK'!C:C,TRIM(C81),
'[1]Detail TPK'!D:D,TRIM(D81)
)</f>
        <v>2</v>
      </c>
    </row>
    <row r="82" spans="1:5" x14ac:dyDescent="0.2">
      <c r="A82" s="5">
        <v>78</v>
      </c>
      <c r="B82" s="6" t="s">
        <v>5</v>
      </c>
      <c r="C82" s="7" t="s">
        <v>80</v>
      </c>
      <c r="D82" s="7" t="s">
        <v>83</v>
      </c>
      <c r="E82" s="8">
        <f>COUNTIFS(
'[1]Detail TPK'!B:B,"BANGKA",
'[1]Detail TPK'!C:C,TRIM(C82),
'[1]Detail TPK'!D:D,TRIM(D82)
)</f>
        <v>2</v>
      </c>
    </row>
    <row r="83" spans="1:5" x14ac:dyDescent="0.2">
      <c r="A83" s="5">
        <v>79</v>
      </c>
      <c r="B83" s="6" t="s">
        <v>5</v>
      </c>
      <c r="C83" s="7" t="s">
        <v>80</v>
      </c>
      <c r="D83" s="7" t="s">
        <v>84</v>
      </c>
      <c r="E83" s="8">
        <f>COUNTIFS(
'[1]Detail TPK'!B:B,"BANGKA",
'[1]Detail TPK'!C:C,TRIM(C83),
'[1]Detail TPK'!D:D,TRIM(D83)
)</f>
        <v>2</v>
      </c>
    </row>
    <row r="84" spans="1:5" x14ac:dyDescent="0.2">
      <c r="A84" s="5">
        <v>80</v>
      </c>
      <c r="B84" s="6" t="s">
        <v>5</v>
      </c>
      <c r="C84" s="7" t="s">
        <v>80</v>
      </c>
      <c r="D84" s="7" t="s">
        <v>85</v>
      </c>
      <c r="E84" s="8">
        <f>COUNTIFS(
'[1]Detail TPK'!B:B,"BANGKA",
'[1]Detail TPK'!C:C,TRIM(C84),
'[1]Detail TPK'!D:D,TRIM(D84)
)</f>
        <v>3</v>
      </c>
    </row>
    <row r="85" spans="1:5" x14ac:dyDescent="0.2">
      <c r="A85" s="5">
        <v>81</v>
      </c>
      <c r="B85" s="6" t="s">
        <v>5</v>
      </c>
      <c r="C85" s="7" t="s">
        <v>80</v>
      </c>
      <c r="D85" s="7" t="s">
        <v>86</v>
      </c>
      <c r="E85" s="8">
        <f>COUNTIFS(
'[1]Detail TPK'!B:B,"BANGKA",
'[1]Detail TPK'!C:C,TRIM(C85),
'[1]Detail TPK'!D:D,TRIM(D85)
)</f>
        <v>2</v>
      </c>
    </row>
    <row r="86" spans="1:5" x14ac:dyDescent="0.2">
      <c r="A86" s="9">
        <v>1</v>
      </c>
      <c r="B86" s="6" t="s">
        <v>87</v>
      </c>
      <c r="C86" s="7" t="s">
        <v>88</v>
      </c>
      <c r="D86" s="7" t="s">
        <v>89</v>
      </c>
      <c r="E86" s="8">
        <f>COUNTIFS('[1]Detail TPK'!B:B,"BANGKA BARAT",'[1]Detail TPK'!C:C,C86,'[1]Detail TPK'!D:D,D86)</f>
        <v>4</v>
      </c>
    </row>
    <row r="87" spans="1:5" x14ac:dyDescent="0.2">
      <c r="A87" s="9">
        <v>2</v>
      </c>
      <c r="B87" s="6" t="s">
        <v>87</v>
      </c>
      <c r="C87" s="7" t="s">
        <v>88</v>
      </c>
      <c r="D87" s="7" t="s">
        <v>90</v>
      </c>
      <c r="E87" s="8">
        <f>COUNTIFS('[1]Detail TPK'!B:B,"BANGKA BARAT",'[1]Detail TPK'!C:C,C87,'[1]Detail TPK'!D:D,D87)</f>
        <v>4</v>
      </c>
    </row>
    <row r="88" spans="1:5" x14ac:dyDescent="0.2">
      <c r="A88" s="9">
        <v>3</v>
      </c>
      <c r="B88" s="6" t="s">
        <v>87</v>
      </c>
      <c r="C88" s="7" t="s">
        <v>88</v>
      </c>
      <c r="D88" s="7" t="s">
        <v>91</v>
      </c>
      <c r="E88" s="8">
        <f>COUNTIFS('[1]Detail TPK'!B:B,"BANGKA BARAT",'[1]Detail TPK'!C:C,C88,'[1]Detail TPK'!D:D,D88)</f>
        <v>3</v>
      </c>
    </row>
    <row r="89" spans="1:5" x14ac:dyDescent="0.2">
      <c r="A89" s="9">
        <v>4</v>
      </c>
      <c r="B89" s="6" t="s">
        <v>87</v>
      </c>
      <c r="C89" s="7" t="s">
        <v>88</v>
      </c>
      <c r="D89" s="7" t="s">
        <v>92</v>
      </c>
      <c r="E89" s="8">
        <f>COUNTIFS('[1]Detail TPK'!B:B,"BANGKA BARAT",'[1]Detail TPK'!C:C,C89,'[1]Detail TPK'!D:D,D89)</f>
        <v>2</v>
      </c>
    </row>
    <row r="90" spans="1:5" x14ac:dyDescent="0.2">
      <c r="A90" s="9">
        <v>5</v>
      </c>
      <c r="B90" s="6" t="s">
        <v>87</v>
      </c>
      <c r="C90" s="7" t="s">
        <v>88</v>
      </c>
      <c r="D90" s="7" t="s">
        <v>93</v>
      </c>
      <c r="E90" s="8">
        <f>COUNTIFS('[1]Detail TPK'!B:B,"BANGKA BARAT",'[1]Detail TPK'!C:C,C90,'[1]Detail TPK'!D:D,D90)</f>
        <v>2</v>
      </c>
    </row>
    <row r="91" spans="1:5" x14ac:dyDescent="0.2">
      <c r="A91" s="9">
        <v>6</v>
      </c>
      <c r="B91" s="6" t="s">
        <v>87</v>
      </c>
      <c r="C91" s="7" t="s">
        <v>88</v>
      </c>
      <c r="D91" s="7" t="s">
        <v>94</v>
      </c>
      <c r="E91" s="8">
        <f>COUNTIFS('[1]Detail TPK'!B:B,"BANGKA BARAT",'[1]Detail TPK'!C:C,C91,'[1]Detail TPK'!D:D,D91)</f>
        <v>3</v>
      </c>
    </row>
    <row r="92" spans="1:5" x14ac:dyDescent="0.2">
      <c r="A92" s="9">
        <v>7</v>
      </c>
      <c r="B92" s="6" t="s">
        <v>87</v>
      </c>
      <c r="C92" s="7" t="s">
        <v>88</v>
      </c>
      <c r="D92" s="7" t="s">
        <v>95</v>
      </c>
      <c r="E92" s="8">
        <f>COUNTIFS('[1]Detail TPK'!B:B,"BANGKA BARAT",'[1]Detail TPK'!C:C,C92,'[1]Detail TPK'!D:D,D92)</f>
        <v>2</v>
      </c>
    </row>
    <row r="93" spans="1:5" x14ac:dyDescent="0.2">
      <c r="A93" s="9">
        <v>8</v>
      </c>
      <c r="B93" s="6" t="s">
        <v>87</v>
      </c>
      <c r="C93" s="7" t="s">
        <v>88</v>
      </c>
      <c r="D93" s="7" t="s">
        <v>96</v>
      </c>
      <c r="E93" s="8">
        <f>COUNTIFS('[1]Detail TPK'!B:B,"BANGKA BARAT",'[1]Detail TPK'!C:C,C93,'[1]Detail TPK'!D:D,D93)</f>
        <v>4</v>
      </c>
    </row>
    <row r="94" spans="1:5" x14ac:dyDescent="0.2">
      <c r="A94" s="9">
        <v>9</v>
      </c>
      <c r="B94" s="6" t="s">
        <v>87</v>
      </c>
      <c r="C94" s="7" t="s">
        <v>88</v>
      </c>
      <c r="D94" s="7" t="s">
        <v>97</v>
      </c>
      <c r="E94" s="8">
        <f>COUNTIFS('[1]Detail TPK'!B:B,"BANGKA BARAT",'[1]Detail TPK'!C:C,C94,'[1]Detail TPK'!D:D,D94)</f>
        <v>1</v>
      </c>
    </row>
    <row r="95" spans="1:5" x14ac:dyDescent="0.2">
      <c r="A95" s="9">
        <v>10</v>
      </c>
      <c r="B95" s="6" t="s">
        <v>87</v>
      </c>
      <c r="C95" s="7" t="s">
        <v>98</v>
      </c>
      <c r="D95" s="7" t="s">
        <v>99</v>
      </c>
      <c r="E95" s="8">
        <f>COUNTIFS('[1]Detail TPK'!B:B,"BANGKA BARAT",'[1]Detail TPK'!C:C,C95,'[1]Detail TPK'!D:D,D95)</f>
        <v>3</v>
      </c>
    </row>
    <row r="96" spans="1:5" x14ac:dyDescent="0.2">
      <c r="A96" s="9">
        <v>11</v>
      </c>
      <c r="B96" s="6" t="s">
        <v>87</v>
      </c>
      <c r="C96" s="7" t="s">
        <v>98</v>
      </c>
      <c r="D96" s="7" t="s">
        <v>100</v>
      </c>
      <c r="E96" s="8">
        <f>COUNTIFS('[1]Detail TPK'!B:B,"BANGKA BARAT",'[1]Detail TPK'!C:C,C96,'[1]Detail TPK'!D:D,D96)</f>
        <v>3</v>
      </c>
    </row>
    <row r="97" spans="1:5" x14ac:dyDescent="0.2">
      <c r="A97" s="9">
        <v>12</v>
      </c>
      <c r="B97" s="6" t="s">
        <v>87</v>
      </c>
      <c r="C97" s="7" t="s">
        <v>98</v>
      </c>
      <c r="D97" s="7" t="s">
        <v>101</v>
      </c>
      <c r="E97" s="8">
        <f>COUNTIFS('[1]Detail TPK'!B:B,"BANGKA BARAT",'[1]Detail TPK'!C:C,C97,'[1]Detail TPK'!D:D,D97)</f>
        <v>3</v>
      </c>
    </row>
    <row r="98" spans="1:5" x14ac:dyDescent="0.2">
      <c r="A98" s="9">
        <v>13</v>
      </c>
      <c r="B98" s="6" t="s">
        <v>87</v>
      </c>
      <c r="C98" s="7" t="s">
        <v>98</v>
      </c>
      <c r="D98" s="7" t="s">
        <v>102</v>
      </c>
      <c r="E98" s="8">
        <f>COUNTIFS('[1]Detail TPK'!B:B,"BANGKA BARAT",'[1]Detail TPK'!C:C,C98,'[1]Detail TPK'!D:D,D98)</f>
        <v>2</v>
      </c>
    </row>
    <row r="99" spans="1:5" x14ac:dyDescent="0.2">
      <c r="A99" s="9">
        <v>14</v>
      </c>
      <c r="B99" s="6" t="s">
        <v>87</v>
      </c>
      <c r="C99" s="7" t="s">
        <v>98</v>
      </c>
      <c r="D99" s="7" t="s">
        <v>103</v>
      </c>
      <c r="E99" s="8">
        <f>COUNTIFS('[1]Detail TPK'!B:B,"BANGKA BARAT",'[1]Detail TPK'!C:C,C99,'[1]Detail TPK'!D:D,D99)</f>
        <v>3</v>
      </c>
    </row>
    <row r="100" spans="1:5" x14ac:dyDescent="0.2">
      <c r="A100" s="9">
        <v>15</v>
      </c>
      <c r="B100" s="6" t="s">
        <v>87</v>
      </c>
      <c r="C100" s="7" t="s">
        <v>98</v>
      </c>
      <c r="D100" s="7" t="s">
        <v>104</v>
      </c>
      <c r="E100" s="8">
        <f>COUNTIFS('[1]Detail TPK'!B:B,"BANGKA BARAT",'[1]Detail TPK'!C:C,C100,'[1]Detail TPK'!D:D,D100)</f>
        <v>3</v>
      </c>
    </row>
    <row r="101" spans="1:5" x14ac:dyDescent="0.2">
      <c r="A101" s="9">
        <v>16</v>
      </c>
      <c r="B101" s="6" t="s">
        <v>87</v>
      </c>
      <c r="C101" s="7" t="s">
        <v>98</v>
      </c>
      <c r="D101" s="7" t="s">
        <v>105</v>
      </c>
      <c r="E101" s="8">
        <f>COUNTIFS('[1]Detail TPK'!B:B,"BANGKA BARAT",'[1]Detail TPK'!C:C,C101,'[1]Detail TPK'!D:D,D101)</f>
        <v>2</v>
      </c>
    </row>
    <row r="102" spans="1:5" x14ac:dyDescent="0.2">
      <c r="A102" s="9">
        <v>17</v>
      </c>
      <c r="B102" s="6" t="s">
        <v>87</v>
      </c>
      <c r="C102" s="7" t="s">
        <v>98</v>
      </c>
      <c r="D102" s="7" t="s">
        <v>106</v>
      </c>
      <c r="E102" s="8">
        <f>COUNTIFS('[1]Detail TPK'!B:B,"BANGKA BARAT",'[1]Detail TPK'!C:C,C102,'[1]Detail TPK'!D:D,D102)</f>
        <v>2</v>
      </c>
    </row>
    <row r="103" spans="1:5" x14ac:dyDescent="0.2">
      <c r="A103" s="9">
        <v>18</v>
      </c>
      <c r="B103" s="6" t="s">
        <v>87</v>
      </c>
      <c r="C103" s="7" t="s">
        <v>98</v>
      </c>
      <c r="D103" s="7" t="s">
        <v>107</v>
      </c>
      <c r="E103" s="8">
        <f>COUNTIFS('[1]Detail TPK'!B:B,"BANGKA BARAT",'[1]Detail TPK'!C:C,C103,'[1]Detail TPK'!D:D,D103)</f>
        <v>3</v>
      </c>
    </row>
    <row r="104" spans="1:5" x14ac:dyDescent="0.2">
      <c r="A104" s="9">
        <v>19</v>
      </c>
      <c r="B104" s="6" t="s">
        <v>87</v>
      </c>
      <c r="C104" s="7" t="s">
        <v>98</v>
      </c>
      <c r="D104" s="7" t="s">
        <v>108</v>
      </c>
      <c r="E104" s="8">
        <f>COUNTIFS('[1]Detail TPK'!B:B,"BANGKA BARAT",'[1]Detail TPK'!C:C,C104,'[1]Detail TPK'!D:D,D104)</f>
        <v>3</v>
      </c>
    </row>
    <row r="105" spans="1:5" x14ac:dyDescent="0.2">
      <c r="A105" s="9">
        <v>20</v>
      </c>
      <c r="B105" s="6" t="s">
        <v>87</v>
      </c>
      <c r="C105" s="7" t="s">
        <v>98</v>
      </c>
      <c r="D105" s="7" t="s">
        <v>109</v>
      </c>
      <c r="E105" s="8">
        <f>COUNTIFS('[1]Detail TPK'!B:B,"BANGKA BARAT",'[1]Detail TPK'!C:C,C105,'[1]Detail TPK'!D:D,D105)</f>
        <v>2</v>
      </c>
    </row>
    <row r="106" spans="1:5" x14ac:dyDescent="0.2">
      <c r="A106" s="9">
        <v>21</v>
      </c>
      <c r="B106" s="6" t="s">
        <v>87</v>
      </c>
      <c r="C106" s="7" t="s">
        <v>98</v>
      </c>
      <c r="D106" s="7" t="s">
        <v>110</v>
      </c>
      <c r="E106" s="8">
        <f>COUNTIFS('[1]Detail TPK'!B:B,"BANGKA BARAT",'[1]Detail TPK'!C:C,C106,'[1]Detail TPK'!D:D,D106)</f>
        <v>3</v>
      </c>
    </row>
    <row r="107" spans="1:5" x14ac:dyDescent="0.2">
      <c r="A107" s="9">
        <v>22</v>
      </c>
      <c r="B107" s="6" t="s">
        <v>87</v>
      </c>
      <c r="C107" s="7" t="s">
        <v>98</v>
      </c>
      <c r="D107" s="7" t="s">
        <v>111</v>
      </c>
      <c r="E107" s="8">
        <f>COUNTIFS('[1]Detail TPK'!B:B,"BANGKA BARAT",'[1]Detail TPK'!C:C,C107,'[1]Detail TPK'!D:D,D107)</f>
        <v>3</v>
      </c>
    </row>
    <row r="108" spans="1:5" x14ac:dyDescent="0.2">
      <c r="A108" s="9">
        <v>23</v>
      </c>
      <c r="B108" s="6" t="s">
        <v>87</v>
      </c>
      <c r="C108" s="7" t="s">
        <v>112</v>
      </c>
      <c r="D108" s="7" t="s">
        <v>112</v>
      </c>
      <c r="E108" s="8">
        <f>COUNTIFS('[1]Detail TPK'!B:B,"BANGKA BARAT",'[1]Detail TPK'!C:C,C108,'[1]Detail TPK'!D:D,D108)</f>
        <v>4</v>
      </c>
    </row>
    <row r="109" spans="1:5" x14ac:dyDescent="0.2">
      <c r="A109" s="9">
        <v>24</v>
      </c>
      <c r="B109" s="6" t="s">
        <v>87</v>
      </c>
      <c r="C109" s="7" t="s">
        <v>112</v>
      </c>
      <c r="D109" s="7" t="s">
        <v>113</v>
      </c>
      <c r="E109" s="8">
        <f>COUNTIFS('[1]Detail TPK'!B:B,"BANGKA BARAT",'[1]Detail TPK'!C:C,C109,'[1]Detail TPK'!D:D,D109)</f>
        <v>2</v>
      </c>
    </row>
    <row r="110" spans="1:5" x14ac:dyDescent="0.2">
      <c r="A110" s="9">
        <v>25</v>
      </c>
      <c r="B110" s="6" t="s">
        <v>87</v>
      </c>
      <c r="C110" s="7" t="s">
        <v>112</v>
      </c>
      <c r="D110" s="7" t="s">
        <v>114</v>
      </c>
      <c r="E110" s="8">
        <f>COUNTIFS('[1]Detail TPK'!B:B,"BANGKA BARAT",'[1]Detail TPK'!C:C,C110,'[1]Detail TPK'!D:D,D110)</f>
        <v>3</v>
      </c>
    </row>
    <row r="111" spans="1:5" x14ac:dyDescent="0.2">
      <c r="A111" s="9">
        <v>26</v>
      </c>
      <c r="B111" s="6" t="s">
        <v>87</v>
      </c>
      <c r="C111" s="7" t="s">
        <v>112</v>
      </c>
      <c r="D111" s="7" t="s">
        <v>115</v>
      </c>
      <c r="E111" s="8">
        <f>COUNTIFS('[1]Detail TPK'!B:B,"BANGKA BARAT",'[1]Detail TPK'!C:C,C111,'[1]Detail TPK'!D:D,D111)</f>
        <v>1</v>
      </c>
    </row>
    <row r="112" spans="1:5" x14ac:dyDescent="0.2">
      <c r="A112" s="9">
        <v>27</v>
      </c>
      <c r="B112" s="6" t="s">
        <v>87</v>
      </c>
      <c r="C112" s="7" t="s">
        <v>112</v>
      </c>
      <c r="D112" s="7" t="s">
        <v>52</v>
      </c>
      <c r="E112" s="8">
        <f>COUNTIFS('[1]Detail TPK'!B:B,"BANGKA BARAT",'[1]Detail TPK'!C:C,C112,'[1]Detail TPK'!D:D,D112)</f>
        <v>2</v>
      </c>
    </row>
    <row r="113" spans="1:5" x14ac:dyDescent="0.2">
      <c r="A113" s="9">
        <v>28</v>
      </c>
      <c r="B113" s="6" t="s">
        <v>87</v>
      </c>
      <c r="C113" s="7" t="s">
        <v>112</v>
      </c>
      <c r="D113" s="7" t="s">
        <v>116</v>
      </c>
      <c r="E113" s="8">
        <f>COUNTIFS('[1]Detail TPK'!B:B,"BANGKA BARAT",'[1]Detail TPK'!C:C,C113,'[1]Detail TPK'!D:D,D113)</f>
        <v>3</v>
      </c>
    </row>
    <row r="114" spans="1:5" x14ac:dyDescent="0.2">
      <c r="A114" s="9">
        <v>29</v>
      </c>
      <c r="B114" s="6" t="s">
        <v>87</v>
      </c>
      <c r="C114" s="7" t="s">
        <v>112</v>
      </c>
      <c r="D114" s="7" t="s">
        <v>117</v>
      </c>
      <c r="E114" s="8">
        <f>COUNTIFS('[1]Detail TPK'!B:B,"BANGKA BARAT",'[1]Detail TPK'!C:C,C114,'[1]Detail TPK'!D:D,D114)</f>
        <v>2</v>
      </c>
    </row>
    <row r="115" spans="1:5" x14ac:dyDescent="0.2">
      <c r="A115" s="9">
        <v>30</v>
      </c>
      <c r="B115" s="6" t="s">
        <v>87</v>
      </c>
      <c r="C115" s="7" t="s">
        <v>112</v>
      </c>
      <c r="D115" s="7" t="s">
        <v>118</v>
      </c>
      <c r="E115" s="8">
        <f>COUNTIFS('[1]Detail TPK'!B:B,"BANGKA BARAT",'[1]Detail TPK'!C:C,C115,'[1]Detail TPK'!D:D,D115)</f>
        <v>3</v>
      </c>
    </row>
    <row r="116" spans="1:5" x14ac:dyDescent="0.2">
      <c r="A116" s="9">
        <v>31</v>
      </c>
      <c r="B116" s="6" t="s">
        <v>87</v>
      </c>
      <c r="C116" s="7" t="s">
        <v>112</v>
      </c>
      <c r="D116" s="7" t="s">
        <v>119</v>
      </c>
      <c r="E116" s="8">
        <f>COUNTIFS('[1]Detail TPK'!B:B,"BANGKA BARAT",'[1]Detail TPK'!C:C,C116,'[1]Detail TPK'!D:D,D116)</f>
        <v>1</v>
      </c>
    </row>
    <row r="117" spans="1:5" x14ac:dyDescent="0.2">
      <c r="A117" s="9">
        <v>32</v>
      </c>
      <c r="B117" s="6" t="s">
        <v>87</v>
      </c>
      <c r="C117" s="7" t="s">
        <v>112</v>
      </c>
      <c r="D117" s="7" t="s">
        <v>120</v>
      </c>
      <c r="E117" s="8">
        <f>COUNTIFS('[1]Detail TPK'!B:B,"BANGKA BARAT",'[1]Detail TPK'!C:C,C117,'[1]Detail TPK'!D:D,D117)</f>
        <v>3</v>
      </c>
    </row>
    <row r="118" spans="1:5" x14ac:dyDescent="0.2">
      <c r="A118" s="9">
        <v>33</v>
      </c>
      <c r="B118" s="6" t="s">
        <v>87</v>
      </c>
      <c r="C118" s="7" t="s">
        <v>112</v>
      </c>
      <c r="D118" s="7" t="s">
        <v>121</v>
      </c>
      <c r="E118" s="8">
        <f>COUNTIFS('[1]Detail TPK'!B:B,"BANGKA BARAT",'[1]Detail TPK'!C:C,C118,'[1]Detail TPK'!D:D,D118)</f>
        <v>3</v>
      </c>
    </row>
    <row r="119" spans="1:5" x14ac:dyDescent="0.2">
      <c r="A119" s="9">
        <v>34</v>
      </c>
      <c r="B119" s="6" t="s">
        <v>87</v>
      </c>
      <c r="C119" s="7" t="s">
        <v>122</v>
      </c>
      <c r="D119" s="7" t="s">
        <v>122</v>
      </c>
      <c r="E119" s="8">
        <f>COUNTIFS('[1]Detail TPK'!B:B,"BANGKA BARAT",'[1]Detail TPK'!C:C,C119,'[1]Detail TPK'!D:D,D119)</f>
        <v>5</v>
      </c>
    </row>
    <row r="120" spans="1:5" x14ac:dyDescent="0.2">
      <c r="A120" s="9">
        <v>35</v>
      </c>
      <c r="B120" s="6" t="s">
        <v>87</v>
      </c>
      <c r="C120" s="7" t="s">
        <v>122</v>
      </c>
      <c r="D120" s="7" t="s">
        <v>123</v>
      </c>
      <c r="E120" s="8">
        <f>COUNTIFS('[1]Detail TPK'!B:B,"BANGKA BARAT",'[1]Detail TPK'!C:C,C120,'[1]Detail TPK'!D:D,D120)</f>
        <v>1</v>
      </c>
    </row>
    <row r="121" spans="1:5" x14ac:dyDescent="0.2">
      <c r="A121" s="9">
        <v>36</v>
      </c>
      <c r="B121" s="6" t="s">
        <v>87</v>
      </c>
      <c r="C121" s="7" t="s">
        <v>122</v>
      </c>
      <c r="D121" s="7" t="s">
        <v>124</v>
      </c>
      <c r="E121" s="8">
        <f>COUNTIFS('[1]Detail TPK'!B:B,"BANGKA BARAT",'[1]Detail TPK'!C:C,C121,'[1]Detail TPK'!D:D,D121)</f>
        <v>2</v>
      </c>
    </row>
    <row r="122" spans="1:5" x14ac:dyDescent="0.2">
      <c r="A122" s="9">
        <v>37</v>
      </c>
      <c r="B122" s="6" t="s">
        <v>87</v>
      </c>
      <c r="C122" s="7" t="s">
        <v>122</v>
      </c>
      <c r="D122" s="7" t="s">
        <v>125</v>
      </c>
      <c r="E122" s="8">
        <f>COUNTIFS('[1]Detail TPK'!B:B,"BANGKA BARAT",'[1]Detail TPK'!C:C,C122,'[1]Detail TPK'!D:D,D122)</f>
        <v>1</v>
      </c>
    </row>
    <row r="123" spans="1:5" x14ac:dyDescent="0.2">
      <c r="A123" s="9">
        <v>38</v>
      </c>
      <c r="B123" s="6" t="s">
        <v>87</v>
      </c>
      <c r="C123" s="7" t="s">
        <v>122</v>
      </c>
      <c r="D123" s="7" t="s">
        <v>126</v>
      </c>
      <c r="E123" s="8">
        <f>COUNTIFS('[1]Detail TPK'!B:B,"BANGKA BARAT",'[1]Detail TPK'!C:C,C123,'[1]Detail TPK'!D:D,D123)</f>
        <v>4</v>
      </c>
    </row>
    <row r="124" spans="1:5" x14ac:dyDescent="0.2">
      <c r="A124" s="9">
        <v>39</v>
      </c>
      <c r="B124" s="6" t="s">
        <v>87</v>
      </c>
      <c r="C124" s="7" t="s">
        <v>122</v>
      </c>
      <c r="D124" s="7" t="s">
        <v>127</v>
      </c>
      <c r="E124" s="8">
        <f>COUNTIFS('[1]Detail TPK'!B:B,"BANGKA BARAT",'[1]Detail TPK'!C:C,C124,'[1]Detail TPK'!D:D,D124)</f>
        <v>2</v>
      </c>
    </row>
    <row r="125" spans="1:5" x14ac:dyDescent="0.2">
      <c r="A125" s="9">
        <v>40</v>
      </c>
      <c r="B125" s="6" t="s">
        <v>87</v>
      </c>
      <c r="C125" s="7" t="s">
        <v>122</v>
      </c>
      <c r="D125" s="7" t="s">
        <v>128</v>
      </c>
      <c r="E125" s="8">
        <f>COUNTIFS('[1]Detail TPK'!B:B,"BANGKA BARAT",'[1]Detail TPK'!C:C,C125,'[1]Detail TPK'!D:D,D125)</f>
        <v>1</v>
      </c>
    </row>
    <row r="126" spans="1:5" x14ac:dyDescent="0.2">
      <c r="A126" s="9">
        <v>41</v>
      </c>
      <c r="B126" s="6" t="s">
        <v>87</v>
      </c>
      <c r="C126" s="7" t="s">
        <v>122</v>
      </c>
      <c r="D126" s="7" t="s">
        <v>129</v>
      </c>
      <c r="E126" s="8">
        <f>COUNTIFS('[1]Detail TPK'!B:B,"BANGKA BARAT",'[1]Detail TPK'!C:C,C126,'[1]Detail TPK'!D:D,D126)</f>
        <v>1</v>
      </c>
    </row>
    <row r="127" spans="1:5" x14ac:dyDescent="0.2">
      <c r="A127" s="9">
        <v>42</v>
      </c>
      <c r="B127" s="6" t="s">
        <v>87</v>
      </c>
      <c r="C127" s="7" t="s">
        <v>122</v>
      </c>
      <c r="D127" s="7" t="s">
        <v>130</v>
      </c>
      <c r="E127" s="8">
        <f>COUNTIFS('[1]Detail TPK'!B:B,"BANGKA BARAT",'[1]Detail TPK'!C:C,C127,'[1]Detail TPK'!D:D,D127)</f>
        <v>1</v>
      </c>
    </row>
    <row r="128" spans="1:5" x14ac:dyDescent="0.2">
      <c r="A128" s="9">
        <v>43</v>
      </c>
      <c r="B128" s="6" t="s">
        <v>87</v>
      </c>
      <c r="C128" s="7" t="s">
        <v>122</v>
      </c>
      <c r="D128" s="7" t="s">
        <v>131</v>
      </c>
      <c r="E128" s="8">
        <f>COUNTIFS('[1]Detail TPK'!B:B,"BANGKA BARAT",'[1]Detail TPK'!C:C,C128,'[1]Detail TPK'!D:D,D128)</f>
        <v>2</v>
      </c>
    </row>
    <row r="129" spans="1:5" x14ac:dyDescent="0.2">
      <c r="A129" s="9">
        <v>44</v>
      </c>
      <c r="B129" s="6" t="s">
        <v>87</v>
      </c>
      <c r="C129" s="7" t="s">
        <v>122</v>
      </c>
      <c r="D129" s="7" t="s">
        <v>132</v>
      </c>
      <c r="E129" s="8">
        <f>COUNTIFS('[1]Detail TPK'!B:B,"BANGKA BARAT",'[1]Detail TPK'!C:C,C129,'[1]Detail TPK'!D:D,D129)</f>
        <v>1</v>
      </c>
    </row>
    <row r="130" spans="1:5" x14ac:dyDescent="0.2">
      <c r="A130" s="9">
        <v>45</v>
      </c>
      <c r="B130" s="6" t="s">
        <v>87</v>
      </c>
      <c r="C130" s="7" t="s">
        <v>122</v>
      </c>
      <c r="D130" s="7" t="s">
        <v>133</v>
      </c>
      <c r="E130" s="8">
        <f>COUNTIFS('[1]Detail TPK'!B:B,"BANGKA BARAT",'[1]Detail TPK'!C:C,C130,'[1]Detail TPK'!D:D,D130)</f>
        <v>3</v>
      </c>
    </row>
    <row r="131" spans="1:5" x14ac:dyDescent="0.2">
      <c r="A131" s="9">
        <v>46</v>
      </c>
      <c r="B131" s="6" t="s">
        <v>87</v>
      </c>
      <c r="C131" s="7" t="s">
        <v>122</v>
      </c>
      <c r="D131" s="7" t="s">
        <v>134</v>
      </c>
      <c r="E131" s="8">
        <f>COUNTIFS('[1]Detail TPK'!B:B,"BANGKA BARAT",'[1]Detail TPK'!C:C,C131,'[1]Detail TPK'!D:D,D131)</f>
        <v>3</v>
      </c>
    </row>
    <row r="132" spans="1:5" x14ac:dyDescent="0.2">
      <c r="A132" s="9">
        <v>47</v>
      </c>
      <c r="B132" s="6" t="s">
        <v>87</v>
      </c>
      <c r="C132" s="7" t="s">
        <v>122</v>
      </c>
      <c r="D132" s="7" t="s">
        <v>135</v>
      </c>
      <c r="E132" s="8">
        <f>COUNTIFS('[1]Detail TPK'!B:B,"BANGKA BARAT",'[1]Detail TPK'!C:C,C132,'[1]Detail TPK'!D:D,D132)</f>
        <v>3</v>
      </c>
    </row>
    <row r="133" spans="1:5" x14ac:dyDescent="0.2">
      <c r="A133" s="9">
        <v>48</v>
      </c>
      <c r="B133" s="6" t="s">
        <v>87</v>
      </c>
      <c r="C133" s="7" t="s">
        <v>136</v>
      </c>
      <c r="D133" s="7" t="s">
        <v>136</v>
      </c>
      <c r="E133" s="8">
        <f>COUNTIFS('[1]Detail TPK'!B:B,"BANGKA BARAT",'[1]Detail TPK'!C:C,C133,'[1]Detail TPK'!D:D,D133)</f>
        <v>2</v>
      </c>
    </row>
    <row r="134" spans="1:5" x14ac:dyDescent="0.2">
      <c r="A134" s="9">
        <v>49</v>
      </c>
      <c r="B134" s="6" t="s">
        <v>87</v>
      </c>
      <c r="C134" s="7" t="s">
        <v>136</v>
      </c>
      <c r="D134" s="7" t="s">
        <v>137</v>
      </c>
      <c r="E134" s="8">
        <f>COUNTIFS('[1]Detail TPK'!B:B,"BANGKA BARAT",'[1]Detail TPK'!C:C,C134,'[1]Detail TPK'!D:D,D134)</f>
        <v>2</v>
      </c>
    </row>
    <row r="135" spans="1:5" x14ac:dyDescent="0.2">
      <c r="A135" s="9">
        <v>50</v>
      </c>
      <c r="B135" s="6" t="s">
        <v>87</v>
      </c>
      <c r="C135" s="7" t="s">
        <v>136</v>
      </c>
      <c r="D135" s="7" t="s">
        <v>138</v>
      </c>
      <c r="E135" s="8">
        <f>COUNTIFS('[1]Detail TPK'!B:B,"BANGKA BARAT",'[1]Detail TPK'!C:C,C135,'[1]Detail TPK'!D:D,D135)</f>
        <v>2</v>
      </c>
    </row>
    <row r="136" spans="1:5" x14ac:dyDescent="0.2">
      <c r="A136" s="9">
        <v>51</v>
      </c>
      <c r="B136" s="6" t="s">
        <v>87</v>
      </c>
      <c r="C136" s="7" t="s">
        <v>136</v>
      </c>
      <c r="D136" s="7" t="s">
        <v>139</v>
      </c>
      <c r="E136" s="8">
        <f>COUNTIFS('[1]Detail TPK'!B:B,"BANGKA BARAT",'[1]Detail TPK'!C:C,C136,'[1]Detail TPK'!D:D,D136)</f>
        <v>2</v>
      </c>
    </row>
    <row r="137" spans="1:5" x14ac:dyDescent="0.2">
      <c r="A137" s="9">
        <v>52</v>
      </c>
      <c r="B137" s="6" t="s">
        <v>87</v>
      </c>
      <c r="C137" s="7" t="s">
        <v>136</v>
      </c>
      <c r="D137" s="7" t="s">
        <v>140</v>
      </c>
      <c r="E137" s="8">
        <f>COUNTIFS('[1]Detail TPK'!B:B,"BANGKA BARAT",'[1]Detail TPK'!C:C,C137,'[1]Detail TPK'!D:D,D137)</f>
        <v>2</v>
      </c>
    </row>
    <row r="138" spans="1:5" x14ac:dyDescent="0.2">
      <c r="A138" s="9">
        <v>53</v>
      </c>
      <c r="B138" s="6" t="s">
        <v>87</v>
      </c>
      <c r="C138" s="7" t="s">
        <v>136</v>
      </c>
      <c r="D138" s="7" t="s">
        <v>141</v>
      </c>
      <c r="E138" s="8">
        <f>COUNTIFS('[1]Detail TPK'!B:B,"BANGKA BARAT",'[1]Detail TPK'!C:C,C138,'[1]Detail TPK'!D:D,D138)</f>
        <v>2</v>
      </c>
    </row>
    <row r="139" spans="1:5" x14ac:dyDescent="0.2">
      <c r="A139" s="9">
        <v>54</v>
      </c>
      <c r="B139" s="6" t="s">
        <v>87</v>
      </c>
      <c r="C139" s="7" t="s">
        <v>136</v>
      </c>
      <c r="D139" s="7" t="s">
        <v>142</v>
      </c>
      <c r="E139" s="8">
        <f>COUNTIFS('[1]Detail TPK'!B:B,"BANGKA BARAT",'[1]Detail TPK'!C:C,C139,'[1]Detail TPK'!D:D,D139)</f>
        <v>2</v>
      </c>
    </row>
    <row r="140" spans="1:5" x14ac:dyDescent="0.2">
      <c r="A140" s="9">
        <v>55</v>
      </c>
      <c r="B140" s="6" t="s">
        <v>87</v>
      </c>
      <c r="C140" s="7" t="s">
        <v>136</v>
      </c>
      <c r="D140" s="7" t="s">
        <v>143</v>
      </c>
      <c r="E140" s="8">
        <f>COUNTIFS('[1]Detail TPK'!B:B,"BANGKA BARAT",'[1]Detail TPK'!C:C,C140,'[1]Detail TPK'!D:D,D140)</f>
        <v>2</v>
      </c>
    </row>
    <row r="141" spans="1:5" x14ac:dyDescent="0.2">
      <c r="A141" s="9">
        <v>56</v>
      </c>
      <c r="B141" s="6" t="s">
        <v>87</v>
      </c>
      <c r="C141" s="7" t="s">
        <v>136</v>
      </c>
      <c r="D141" s="7" t="s">
        <v>144</v>
      </c>
      <c r="E141" s="8">
        <f>COUNTIFS('[1]Detail TPK'!B:B,"BANGKA BARAT",'[1]Detail TPK'!C:C,C141,'[1]Detail TPK'!D:D,D141)</f>
        <v>2</v>
      </c>
    </row>
    <row r="142" spans="1:5" x14ac:dyDescent="0.2">
      <c r="A142" s="9">
        <v>57</v>
      </c>
      <c r="B142" s="6" t="s">
        <v>87</v>
      </c>
      <c r="C142" s="7" t="s">
        <v>145</v>
      </c>
      <c r="D142" s="7" t="s">
        <v>146</v>
      </c>
      <c r="E142" s="8">
        <f>COUNTIFS('[1]Detail TPK'!B:B,"BANGKA BARAT",'[1]Detail TPK'!C:C,C142,'[1]Detail TPK'!D:D,D142)</f>
        <v>2</v>
      </c>
    </row>
    <row r="143" spans="1:5" x14ac:dyDescent="0.2">
      <c r="A143" s="9">
        <v>58</v>
      </c>
      <c r="B143" s="6" t="s">
        <v>87</v>
      </c>
      <c r="C143" s="7" t="s">
        <v>145</v>
      </c>
      <c r="D143" s="7" t="s">
        <v>147</v>
      </c>
      <c r="E143" s="8">
        <f>COUNTIFS('[1]Detail TPK'!B:B,"BANGKA BARAT",'[1]Detail TPK'!C:C,C143,'[1]Detail TPK'!D:D,D143)</f>
        <v>1</v>
      </c>
    </row>
    <row r="144" spans="1:5" x14ac:dyDescent="0.2">
      <c r="A144" s="9">
        <v>59</v>
      </c>
      <c r="B144" s="6" t="s">
        <v>87</v>
      </c>
      <c r="C144" s="7" t="s">
        <v>145</v>
      </c>
      <c r="D144" s="7" t="s">
        <v>148</v>
      </c>
      <c r="E144" s="8">
        <f>COUNTIFS('[1]Detail TPK'!B:B,"BANGKA BARAT",'[1]Detail TPK'!C:C,C144,'[1]Detail TPK'!D:D,D144)</f>
        <v>3</v>
      </c>
    </row>
    <row r="145" spans="1:5" x14ac:dyDescent="0.2">
      <c r="A145" s="9">
        <v>60</v>
      </c>
      <c r="B145" s="6" t="s">
        <v>87</v>
      </c>
      <c r="C145" s="7" t="s">
        <v>145</v>
      </c>
      <c r="D145" s="7" t="s">
        <v>149</v>
      </c>
      <c r="E145" s="8">
        <f>COUNTIFS('[1]Detail TPK'!B:B,"BANGKA BARAT",'[1]Detail TPK'!C:C,C145,'[1]Detail TPK'!D:D,D145)</f>
        <v>1</v>
      </c>
    </row>
    <row r="146" spans="1:5" x14ac:dyDescent="0.2">
      <c r="A146" s="9">
        <v>61</v>
      </c>
      <c r="B146" s="6" t="s">
        <v>87</v>
      </c>
      <c r="C146" s="7" t="s">
        <v>145</v>
      </c>
      <c r="D146" s="7" t="s">
        <v>150</v>
      </c>
      <c r="E146" s="8">
        <f>COUNTIFS('[1]Detail TPK'!B:B,"BANGKA BARAT",'[1]Detail TPK'!C:C,C146,'[1]Detail TPK'!D:D,D146)</f>
        <v>2</v>
      </c>
    </row>
    <row r="147" spans="1:5" x14ac:dyDescent="0.2">
      <c r="A147" s="9">
        <v>62</v>
      </c>
      <c r="B147" s="6" t="s">
        <v>87</v>
      </c>
      <c r="C147" s="7" t="s">
        <v>145</v>
      </c>
      <c r="D147" s="7" t="s">
        <v>151</v>
      </c>
      <c r="E147" s="8">
        <f>COUNTIFS('[1]Detail TPK'!B:B,"BANGKA BARAT",'[1]Detail TPK'!C:C,C147,'[1]Detail TPK'!D:D,D147)</f>
        <v>3</v>
      </c>
    </row>
    <row r="148" spans="1:5" x14ac:dyDescent="0.2">
      <c r="A148" s="9">
        <v>63</v>
      </c>
      <c r="B148" s="6" t="s">
        <v>87</v>
      </c>
      <c r="C148" s="7" t="s">
        <v>145</v>
      </c>
      <c r="D148" s="7" t="s">
        <v>152</v>
      </c>
      <c r="E148" s="8">
        <f>COUNTIFS('[1]Detail TPK'!B:B,"BANGKA BARAT",'[1]Detail TPK'!C:C,C148,'[1]Detail TPK'!D:D,D148)</f>
        <v>3</v>
      </c>
    </row>
    <row r="149" spans="1:5" x14ac:dyDescent="0.2">
      <c r="A149" s="9">
        <v>64</v>
      </c>
      <c r="B149" s="6" t="s">
        <v>87</v>
      </c>
      <c r="C149" s="7" t="s">
        <v>145</v>
      </c>
      <c r="D149" s="7" t="s">
        <v>153</v>
      </c>
      <c r="E149" s="8">
        <f>COUNTIFS('[1]Detail TPK'!B:B,"BANGKA BARAT",'[1]Detail TPK'!C:C,C149,'[1]Detail TPK'!D:D,D149)</f>
        <v>1</v>
      </c>
    </row>
    <row r="150" spans="1:5" x14ac:dyDescent="0.2">
      <c r="A150" s="9">
        <v>65</v>
      </c>
      <c r="B150" s="6" t="s">
        <v>87</v>
      </c>
      <c r="C150" s="7" t="s">
        <v>145</v>
      </c>
      <c r="D150" s="7" t="s">
        <v>154</v>
      </c>
      <c r="E150" s="8">
        <f>COUNTIFS('[1]Detail TPK'!B:B,"BANGKA BARAT",'[1]Detail TPK'!C:C,C150,'[1]Detail TPK'!D:D,D150)</f>
        <v>2</v>
      </c>
    </row>
    <row r="151" spans="1:5" x14ac:dyDescent="0.2">
      <c r="A151" s="9">
        <v>66</v>
      </c>
      <c r="B151" s="6" t="s">
        <v>87</v>
      </c>
      <c r="C151" s="7" t="s">
        <v>145</v>
      </c>
      <c r="D151" s="7" t="s">
        <v>155</v>
      </c>
      <c r="E151" s="8">
        <f>COUNTIFS('[1]Detail TPK'!B:B,"BANGKA BARAT",'[1]Detail TPK'!C:C,C151,'[1]Detail TPK'!D:D,D151)</f>
        <v>2</v>
      </c>
    </row>
    <row r="152" spans="1:5" x14ac:dyDescent="0.2">
      <c r="A152" s="9">
        <v>1</v>
      </c>
      <c r="B152" s="6" t="s">
        <v>156</v>
      </c>
      <c r="C152" s="7" t="s">
        <v>157</v>
      </c>
      <c r="D152" s="7" t="s">
        <v>157</v>
      </c>
      <c r="E152" s="8">
        <f>COUNTIFS('[1]Detail TPK'!B:B,"BANGKA TENGAH",'[1]Detail TPK'!C:C,C152,'[1]Detail TPK'!D:D,D152)</f>
        <v>3</v>
      </c>
    </row>
    <row r="153" spans="1:5" x14ac:dyDescent="0.2">
      <c r="A153" s="9">
        <v>2</v>
      </c>
      <c r="B153" s="6" t="s">
        <v>156</v>
      </c>
      <c r="C153" s="7" t="s">
        <v>157</v>
      </c>
      <c r="D153" s="7" t="s">
        <v>158</v>
      </c>
      <c r="E153" s="8">
        <f>COUNTIFS('[1]Detail TPK'!B:B,"BANGKA TENGAH",'[1]Detail TPK'!C:C,C153,'[1]Detail TPK'!D:D,D153)</f>
        <v>3</v>
      </c>
    </row>
    <row r="154" spans="1:5" x14ac:dyDescent="0.2">
      <c r="A154" s="9">
        <v>3</v>
      </c>
      <c r="B154" s="6" t="s">
        <v>156</v>
      </c>
      <c r="C154" s="7" t="s">
        <v>157</v>
      </c>
      <c r="D154" s="7" t="s">
        <v>159</v>
      </c>
      <c r="E154" s="8">
        <f>COUNTIFS('[1]Detail TPK'!B:B,"BANGKA TENGAH",'[1]Detail TPK'!C:C,C154,'[1]Detail TPK'!D:D,D154)</f>
        <v>2</v>
      </c>
    </row>
    <row r="155" spans="1:5" x14ac:dyDescent="0.2">
      <c r="A155" s="9">
        <v>4</v>
      </c>
      <c r="B155" s="6" t="s">
        <v>156</v>
      </c>
      <c r="C155" s="7" t="s">
        <v>157</v>
      </c>
      <c r="D155" s="7" t="s">
        <v>160</v>
      </c>
      <c r="E155" s="8">
        <f>COUNTIFS('[1]Detail TPK'!B:B,"BANGKA TENGAH",'[1]Detail TPK'!C:C,C155,'[1]Detail TPK'!D:D,D155)</f>
        <v>3</v>
      </c>
    </row>
    <row r="156" spans="1:5" x14ac:dyDescent="0.2">
      <c r="A156" s="9">
        <v>5</v>
      </c>
      <c r="B156" s="6" t="s">
        <v>156</v>
      </c>
      <c r="C156" s="7" t="s">
        <v>157</v>
      </c>
      <c r="D156" s="7" t="s">
        <v>161</v>
      </c>
      <c r="E156" s="8">
        <f>COUNTIFS('[1]Detail TPK'!B:B,"BANGKA TENGAH",'[1]Detail TPK'!C:C,C156,'[1]Detail TPK'!D:D,D156)</f>
        <v>3</v>
      </c>
    </row>
    <row r="157" spans="1:5" x14ac:dyDescent="0.2">
      <c r="A157" s="9">
        <v>6</v>
      </c>
      <c r="B157" s="6" t="s">
        <v>156</v>
      </c>
      <c r="C157" s="7" t="s">
        <v>157</v>
      </c>
      <c r="D157" s="7" t="s">
        <v>82</v>
      </c>
      <c r="E157" s="8">
        <f>COUNTIFS('[1]Detail TPK'!B:B,"BANGKA TENGAH",'[1]Detail TPK'!C:C,C157,'[1]Detail TPK'!D:D,D157)</f>
        <v>3</v>
      </c>
    </row>
    <row r="158" spans="1:5" x14ac:dyDescent="0.2">
      <c r="A158" s="9">
        <v>7</v>
      </c>
      <c r="B158" s="6" t="s">
        <v>156</v>
      </c>
      <c r="C158" s="7" t="s">
        <v>157</v>
      </c>
      <c r="D158" s="7" t="s">
        <v>162</v>
      </c>
      <c r="E158" s="8">
        <f>COUNTIFS('[1]Detail TPK'!B:B,"BANGKA TENGAH",'[1]Detail TPK'!C:C,C158,'[1]Detail TPK'!D:D,D158)</f>
        <v>2</v>
      </c>
    </row>
    <row r="159" spans="1:5" x14ac:dyDescent="0.2">
      <c r="A159" s="9">
        <v>8</v>
      </c>
      <c r="B159" s="6" t="s">
        <v>156</v>
      </c>
      <c r="C159" s="7" t="s">
        <v>157</v>
      </c>
      <c r="D159" s="7" t="s">
        <v>163</v>
      </c>
      <c r="E159" s="8">
        <f>COUNTIFS('[1]Detail TPK'!B:B,"BANGKA TENGAH",'[1]Detail TPK'!C:C,C159,'[1]Detail TPK'!D:D,D159)</f>
        <v>2</v>
      </c>
    </row>
    <row r="160" spans="1:5" x14ac:dyDescent="0.2">
      <c r="A160" s="9">
        <v>9</v>
      </c>
      <c r="B160" s="6" t="s">
        <v>156</v>
      </c>
      <c r="C160" s="7" t="s">
        <v>157</v>
      </c>
      <c r="D160" s="7" t="s">
        <v>164</v>
      </c>
      <c r="E160" s="8">
        <f>COUNTIFS('[1]Detail TPK'!B:B,"BANGKA TENGAH",'[1]Detail TPK'!C:C,C160,'[1]Detail TPK'!D:D,D160)</f>
        <v>3</v>
      </c>
    </row>
    <row r="161" spans="1:5" x14ac:dyDescent="0.2">
      <c r="A161" s="9">
        <v>10</v>
      </c>
      <c r="B161" s="6" t="s">
        <v>156</v>
      </c>
      <c r="C161" s="7" t="s">
        <v>157</v>
      </c>
      <c r="D161" s="7" t="s">
        <v>165</v>
      </c>
      <c r="E161" s="8">
        <f>COUNTIFS('[1]Detail TPK'!B:B,"BANGKA TENGAH",'[1]Detail TPK'!C:C,C161,'[1]Detail TPK'!D:D,D161)</f>
        <v>2</v>
      </c>
    </row>
    <row r="162" spans="1:5" x14ac:dyDescent="0.2">
      <c r="A162" s="9">
        <v>11</v>
      </c>
      <c r="B162" s="6" t="s">
        <v>156</v>
      </c>
      <c r="C162" s="7" t="s">
        <v>157</v>
      </c>
      <c r="D162" s="7" t="s">
        <v>166</v>
      </c>
      <c r="E162" s="8">
        <f>COUNTIFS('[1]Detail TPK'!B:B,"BANGKA TENGAH",'[1]Detail TPK'!C:C,C162,'[1]Detail TPK'!D:D,D162)</f>
        <v>2</v>
      </c>
    </row>
    <row r="163" spans="1:5" x14ac:dyDescent="0.2">
      <c r="A163" s="9">
        <v>12</v>
      </c>
      <c r="B163" s="6" t="s">
        <v>156</v>
      </c>
      <c r="C163" s="7" t="s">
        <v>167</v>
      </c>
      <c r="D163" s="7" t="s">
        <v>168</v>
      </c>
      <c r="E163" s="8">
        <f>COUNTIFS('[1]Detail TPK'!B:B,"BANGKA TENGAH",'[1]Detail TPK'!C:C,C163,'[1]Detail TPK'!D:D,D163)</f>
        <v>3</v>
      </c>
    </row>
    <row r="164" spans="1:5" x14ac:dyDescent="0.2">
      <c r="A164" s="9">
        <v>13</v>
      </c>
      <c r="B164" s="6" t="s">
        <v>156</v>
      </c>
      <c r="C164" s="7" t="s">
        <v>167</v>
      </c>
      <c r="D164" s="7" t="s">
        <v>169</v>
      </c>
      <c r="E164" s="8">
        <f>COUNTIFS('[1]Detail TPK'!B:B,"BANGKA TENGAH",'[1]Detail TPK'!C:C,C164,'[1]Detail TPK'!D:D,D164)</f>
        <v>2</v>
      </c>
    </row>
    <row r="165" spans="1:5" x14ac:dyDescent="0.2">
      <c r="A165" s="9">
        <v>14</v>
      </c>
      <c r="B165" s="6" t="s">
        <v>156</v>
      </c>
      <c r="C165" s="7" t="s">
        <v>167</v>
      </c>
      <c r="D165" s="7" t="s">
        <v>170</v>
      </c>
      <c r="E165" s="8">
        <f>COUNTIFS('[1]Detail TPK'!B:B,"BANGKA TENGAH",'[1]Detail TPK'!C:C,C165,'[1]Detail TPK'!D:D,D165)</f>
        <v>3</v>
      </c>
    </row>
    <row r="166" spans="1:5" x14ac:dyDescent="0.2">
      <c r="A166" s="9">
        <v>15</v>
      </c>
      <c r="B166" s="6" t="s">
        <v>156</v>
      </c>
      <c r="C166" s="7" t="s">
        <v>167</v>
      </c>
      <c r="D166" s="7" t="s">
        <v>171</v>
      </c>
      <c r="E166" s="8">
        <f>COUNTIFS('[1]Detail TPK'!B:B,"BANGKA TENGAH",'[1]Detail TPK'!C:C,C166,'[1]Detail TPK'!D:D,D166)</f>
        <v>3</v>
      </c>
    </row>
    <row r="167" spans="1:5" x14ac:dyDescent="0.2">
      <c r="A167" s="9">
        <v>16</v>
      </c>
      <c r="B167" s="6" t="s">
        <v>156</v>
      </c>
      <c r="C167" s="7" t="s">
        <v>167</v>
      </c>
      <c r="D167" s="7" t="s">
        <v>172</v>
      </c>
      <c r="E167" s="8">
        <f>COUNTIFS('[1]Detail TPK'!B:B,"BANGKA TENGAH",'[1]Detail TPK'!C:C,C167,'[1]Detail TPK'!D:D,D167)</f>
        <v>2</v>
      </c>
    </row>
    <row r="168" spans="1:5" x14ac:dyDescent="0.2">
      <c r="A168" s="9">
        <v>17</v>
      </c>
      <c r="B168" s="6" t="s">
        <v>156</v>
      </c>
      <c r="C168" s="7" t="s">
        <v>167</v>
      </c>
      <c r="D168" s="7" t="s">
        <v>173</v>
      </c>
      <c r="E168" s="8">
        <f>COUNTIFS('[1]Detail TPK'!B:B,"BANGKA TENGAH",'[1]Detail TPK'!C:C,C168,'[1]Detail TPK'!D:D,D168)</f>
        <v>2</v>
      </c>
    </row>
    <row r="169" spans="1:5" x14ac:dyDescent="0.2">
      <c r="A169" s="9">
        <v>18</v>
      </c>
      <c r="B169" s="6" t="s">
        <v>156</v>
      </c>
      <c r="C169" s="7" t="s">
        <v>167</v>
      </c>
      <c r="D169" s="7" t="s">
        <v>174</v>
      </c>
      <c r="E169" s="8">
        <f>COUNTIFS('[1]Detail TPK'!B:B,"BANGKA TENGAH",'[1]Detail TPK'!C:C,C169,'[1]Detail TPK'!D:D,D169)</f>
        <v>2</v>
      </c>
    </row>
    <row r="170" spans="1:5" x14ac:dyDescent="0.2">
      <c r="A170" s="9">
        <v>19</v>
      </c>
      <c r="B170" s="6" t="s">
        <v>156</v>
      </c>
      <c r="C170" s="7" t="s">
        <v>167</v>
      </c>
      <c r="D170" s="7" t="s">
        <v>175</v>
      </c>
      <c r="E170" s="8">
        <f>COUNTIFS('[1]Detail TPK'!B:B,"BANGKA TENGAH",'[1]Detail TPK'!C:C,C170,'[1]Detail TPK'!D:D,D170)</f>
        <v>3</v>
      </c>
    </row>
    <row r="171" spans="1:5" x14ac:dyDescent="0.2">
      <c r="A171" s="9">
        <v>20</v>
      </c>
      <c r="B171" s="6" t="s">
        <v>156</v>
      </c>
      <c r="C171" s="7" t="s">
        <v>167</v>
      </c>
      <c r="D171" s="7" t="s">
        <v>176</v>
      </c>
      <c r="E171" s="8">
        <f>COUNTIFS('[1]Detail TPK'!B:B,"BANGKA TENGAH",'[1]Detail TPK'!C:C,C171,'[1]Detail TPK'!D:D,D171)</f>
        <v>2</v>
      </c>
    </row>
    <row r="172" spans="1:5" x14ac:dyDescent="0.2">
      <c r="A172" s="9">
        <v>21</v>
      </c>
      <c r="B172" s="6" t="s">
        <v>156</v>
      </c>
      <c r="C172" s="7" t="s">
        <v>167</v>
      </c>
      <c r="D172" s="7" t="s">
        <v>177</v>
      </c>
      <c r="E172" s="8">
        <f>COUNTIFS('[1]Detail TPK'!B:B,"BANGKA TENGAH",'[1]Detail TPK'!C:C,C172,'[1]Detail TPK'!D:D,D172)</f>
        <v>3</v>
      </c>
    </row>
    <row r="173" spans="1:5" x14ac:dyDescent="0.2">
      <c r="A173" s="9">
        <v>22</v>
      </c>
      <c r="B173" s="6" t="s">
        <v>156</v>
      </c>
      <c r="C173" s="7" t="s">
        <v>167</v>
      </c>
      <c r="D173" s="7" t="s">
        <v>178</v>
      </c>
      <c r="E173" s="8">
        <f>COUNTIFS('[1]Detail TPK'!B:B,"BANGKA TENGAH",'[1]Detail TPK'!C:C,C173,'[1]Detail TPK'!D:D,D173)</f>
        <v>2</v>
      </c>
    </row>
    <row r="174" spans="1:5" x14ac:dyDescent="0.2">
      <c r="A174" s="9">
        <v>23</v>
      </c>
      <c r="B174" s="6" t="s">
        <v>156</v>
      </c>
      <c r="C174" s="7" t="s">
        <v>167</v>
      </c>
      <c r="D174" s="7" t="s">
        <v>179</v>
      </c>
      <c r="E174" s="8">
        <f>COUNTIFS('[1]Detail TPK'!B:B,"BANGKA TENGAH",'[1]Detail TPK'!C:C,C174,'[1]Detail TPK'!D:D,D174)</f>
        <v>2</v>
      </c>
    </row>
    <row r="175" spans="1:5" x14ac:dyDescent="0.2">
      <c r="A175" s="9">
        <v>24</v>
      </c>
      <c r="B175" s="6" t="s">
        <v>156</v>
      </c>
      <c r="C175" s="7" t="s">
        <v>180</v>
      </c>
      <c r="D175" s="7" t="s">
        <v>180</v>
      </c>
      <c r="E175" s="8">
        <f>COUNTIFS('[1]Detail TPK'!B:B,"BANGKA TENGAH",'[1]Detail TPK'!C:C,C175,'[1]Detail TPK'!D:D,D175)</f>
        <v>3</v>
      </c>
    </row>
    <row r="176" spans="1:5" x14ac:dyDescent="0.2">
      <c r="A176" s="9">
        <v>25</v>
      </c>
      <c r="B176" s="6" t="s">
        <v>156</v>
      </c>
      <c r="C176" s="7" t="s">
        <v>180</v>
      </c>
      <c r="D176" s="7" t="s">
        <v>181</v>
      </c>
      <c r="E176" s="8">
        <f>COUNTIFS('[1]Detail TPK'!B:B,"BANGKA TENGAH",'[1]Detail TPK'!C:C,C176,'[1]Detail TPK'!D:D,D176)</f>
        <v>2</v>
      </c>
    </row>
    <row r="177" spans="1:5" x14ac:dyDescent="0.2">
      <c r="A177" s="9">
        <v>26</v>
      </c>
      <c r="B177" s="6" t="s">
        <v>156</v>
      </c>
      <c r="C177" s="7" t="s">
        <v>180</v>
      </c>
      <c r="D177" s="7" t="s">
        <v>182</v>
      </c>
      <c r="E177" s="8">
        <f>COUNTIFS('[1]Detail TPK'!B:B,"BANGKA TENGAH",'[1]Detail TPK'!C:C,C177,'[1]Detail TPK'!D:D,D177)</f>
        <v>2</v>
      </c>
    </row>
    <row r="178" spans="1:5" x14ac:dyDescent="0.2">
      <c r="A178" s="9">
        <v>27</v>
      </c>
      <c r="B178" s="6" t="s">
        <v>156</v>
      </c>
      <c r="C178" s="7" t="s">
        <v>180</v>
      </c>
      <c r="D178" s="7" t="s">
        <v>183</v>
      </c>
      <c r="E178" s="8">
        <f>COUNTIFS('[1]Detail TPK'!B:B,"BANGKA TENGAH",'[1]Detail TPK'!C:C,C178,'[1]Detail TPK'!D:D,D178)</f>
        <v>3</v>
      </c>
    </row>
    <row r="179" spans="1:5" x14ac:dyDescent="0.2">
      <c r="A179" s="9">
        <v>28</v>
      </c>
      <c r="B179" s="6" t="s">
        <v>156</v>
      </c>
      <c r="C179" s="7" t="s">
        <v>180</v>
      </c>
      <c r="D179" s="7" t="s">
        <v>184</v>
      </c>
      <c r="E179" s="8">
        <f>COUNTIFS('[1]Detail TPK'!B:B,"BANGKA TENGAH",'[1]Detail TPK'!C:C,C179,'[1]Detail TPK'!D:D,D179)</f>
        <v>2</v>
      </c>
    </row>
    <row r="180" spans="1:5" x14ac:dyDescent="0.2">
      <c r="A180" s="9">
        <v>29</v>
      </c>
      <c r="B180" s="6" t="s">
        <v>156</v>
      </c>
      <c r="C180" s="7" t="s">
        <v>180</v>
      </c>
      <c r="D180" s="7" t="s">
        <v>185</v>
      </c>
      <c r="E180" s="8">
        <f>COUNTIFS('[1]Detail TPK'!B:B,"BANGKA TENGAH",'[1]Detail TPK'!C:C,C180,'[1]Detail TPK'!D:D,D180)</f>
        <v>2</v>
      </c>
    </row>
    <row r="181" spans="1:5" x14ac:dyDescent="0.2">
      <c r="A181" s="9">
        <v>30</v>
      </c>
      <c r="B181" s="6" t="s">
        <v>156</v>
      </c>
      <c r="C181" s="7" t="s">
        <v>180</v>
      </c>
      <c r="D181" s="7" t="s">
        <v>186</v>
      </c>
      <c r="E181" s="8">
        <f>COUNTIFS('[1]Detail TPK'!B:B,"BANGKA TENGAH",'[1]Detail TPK'!C:C,C181,'[1]Detail TPK'!D:D,D181)</f>
        <v>2</v>
      </c>
    </row>
    <row r="182" spans="1:5" x14ac:dyDescent="0.2">
      <c r="A182" s="9">
        <v>31</v>
      </c>
      <c r="B182" s="6" t="s">
        <v>156</v>
      </c>
      <c r="C182" s="7" t="s">
        <v>180</v>
      </c>
      <c r="D182" s="7" t="s">
        <v>187</v>
      </c>
      <c r="E182" s="8">
        <f>COUNTIFS('[1]Detail TPK'!B:B,"BANGKA TENGAH",'[1]Detail TPK'!C:C,C182,'[1]Detail TPK'!D:D,D182)</f>
        <v>2</v>
      </c>
    </row>
    <row r="183" spans="1:5" x14ac:dyDescent="0.2">
      <c r="A183" s="9">
        <v>32</v>
      </c>
      <c r="B183" s="6" t="s">
        <v>156</v>
      </c>
      <c r="C183" s="7" t="s">
        <v>180</v>
      </c>
      <c r="D183" s="7" t="s">
        <v>188</v>
      </c>
      <c r="E183" s="8">
        <f>COUNTIFS('[1]Detail TPK'!B:B,"BANGKA TENGAH",'[1]Detail TPK'!C:C,C183,'[1]Detail TPK'!D:D,D183)</f>
        <v>2</v>
      </c>
    </row>
    <row r="184" spans="1:5" x14ac:dyDescent="0.2">
      <c r="A184" s="9">
        <v>33</v>
      </c>
      <c r="B184" s="6" t="s">
        <v>156</v>
      </c>
      <c r="C184" s="7" t="s">
        <v>180</v>
      </c>
      <c r="D184" s="7" t="s">
        <v>189</v>
      </c>
      <c r="E184" s="8">
        <f>COUNTIFS('[1]Detail TPK'!B:B,"BANGKA TENGAH",'[1]Detail TPK'!C:C,C184,'[1]Detail TPK'!D:D,D184)</f>
        <v>2</v>
      </c>
    </row>
    <row r="185" spans="1:5" x14ac:dyDescent="0.2">
      <c r="A185" s="9">
        <v>34</v>
      </c>
      <c r="B185" s="6" t="s">
        <v>156</v>
      </c>
      <c r="C185" s="7" t="s">
        <v>180</v>
      </c>
      <c r="D185" s="7" t="s">
        <v>190</v>
      </c>
      <c r="E185" s="8">
        <f>COUNTIFS('[1]Detail TPK'!B:B,"BANGKA TENGAH",'[1]Detail TPK'!C:C,C185,'[1]Detail TPK'!D:D,D185)</f>
        <v>2</v>
      </c>
    </row>
    <row r="186" spans="1:5" x14ac:dyDescent="0.2">
      <c r="A186" s="9">
        <v>35</v>
      </c>
      <c r="B186" s="6" t="s">
        <v>156</v>
      </c>
      <c r="C186" s="7" t="s">
        <v>180</v>
      </c>
      <c r="D186" s="7" t="s">
        <v>191</v>
      </c>
      <c r="E186" s="8">
        <f>COUNTIFS('[1]Detail TPK'!B:B,"BANGKA TENGAH",'[1]Detail TPK'!C:C,C186,'[1]Detail TPK'!D:D,D186)</f>
        <v>2</v>
      </c>
    </row>
    <row r="187" spans="1:5" x14ac:dyDescent="0.2">
      <c r="A187" s="9">
        <v>36</v>
      </c>
      <c r="B187" s="6" t="s">
        <v>156</v>
      </c>
      <c r="C187" s="7" t="s">
        <v>180</v>
      </c>
      <c r="D187" s="7" t="s">
        <v>192</v>
      </c>
      <c r="E187" s="8">
        <f>COUNTIFS('[1]Detail TPK'!B:B,"BANGKA TENGAH",'[1]Detail TPK'!C:C,C187,'[1]Detail TPK'!D:D,D187)</f>
        <v>2</v>
      </c>
    </row>
    <row r="188" spans="1:5" x14ac:dyDescent="0.2">
      <c r="A188" s="9">
        <v>37</v>
      </c>
      <c r="B188" s="6" t="s">
        <v>156</v>
      </c>
      <c r="C188" s="7" t="s">
        <v>193</v>
      </c>
      <c r="D188" s="7" t="s">
        <v>193</v>
      </c>
      <c r="E188" s="8">
        <f>COUNTIFS('[1]Detail TPK'!B:B,"BANGKA TENGAH",'[1]Detail TPK'!C:C,C188,'[1]Detail TPK'!D:D,D188)</f>
        <v>2</v>
      </c>
    </row>
    <row r="189" spans="1:5" x14ac:dyDescent="0.2">
      <c r="A189" s="9">
        <v>38</v>
      </c>
      <c r="B189" s="6" t="s">
        <v>156</v>
      </c>
      <c r="C189" s="7" t="s">
        <v>193</v>
      </c>
      <c r="D189" s="7" t="s">
        <v>194</v>
      </c>
      <c r="E189" s="8">
        <f>COUNTIFS('[1]Detail TPK'!B:B,"BANGKA TENGAH",'[1]Detail TPK'!C:C,C189,'[1]Detail TPK'!D:D,D189)</f>
        <v>2</v>
      </c>
    </row>
    <row r="190" spans="1:5" x14ac:dyDescent="0.2">
      <c r="A190" s="9">
        <v>39</v>
      </c>
      <c r="B190" s="6" t="s">
        <v>156</v>
      </c>
      <c r="C190" s="7" t="s">
        <v>193</v>
      </c>
      <c r="D190" s="7" t="s">
        <v>195</v>
      </c>
      <c r="E190" s="8">
        <f>COUNTIFS('[1]Detail TPK'!B:B,"BANGKA TENGAH",'[1]Detail TPK'!C:C,C190,'[1]Detail TPK'!D:D,D190)</f>
        <v>2</v>
      </c>
    </row>
    <row r="191" spans="1:5" x14ac:dyDescent="0.2">
      <c r="A191" s="9">
        <v>40</v>
      </c>
      <c r="B191" s="6" t="s">
        <v>156</v>
      </c>
      <c r="C191" s="7" t="s">
        <v>193</v>
      </c>
      <c r="D191" s="7" t="s">
        <v>129</v>
      </c>
      <c r="E191" s="8">
        <f>COUNTIFS('[1]Detail TPK'!B:B,"BANGKA TENGAH",'[1]Detail TPK'!C:C,C191,'[1]Detail TPK'!D:D,D191)</f>
        <v>2</v>
      </c>
    </row>
    <row r="192" spans="1:5" x14ac:dyDescent="0.2">
      <c r="A192" s="9">
        <v>41</v>
      </c>
      <c r="B192" s="6" t="s">
        <v>156</v>
      </c>
      <c r="C192" s="7" t="s">
        <v>193</v>
      </c>
      <c r="D192" s="7" t="s">
        <v>150</v>
      </c>
      <c r="E192" s="8">
        <f>COUNTIFS('[1]Detail TPK'!B:B,"BANGKA TENGAH",'[1]Detail TPK'!C:C,C192,'[1]Detail TPK'!D:D,D192)</f>
        <v>2</v>
      </c>
    </row>
    <row r="193" spans="1:5" x14ac:dyDescent="0.2">
      <c r="A193" s="9">
        <v>42</v>
      </c>
      <c r="B193" s="6" t="s">
        <v>156</v>
      </c>
      <c r="C193" s="7" t="s">
        <v>193</v>
      </c>
      <c r="D193" s="7" t="s">
        <v>196</v>
      </c>
      <c r="E193" s="8">
        <f>COUNTIFS('[1]Detail TPK'!B:B,"BANGKA TENGAH",'[1]Detail TPK'!C:C,C193,'[1]Detail TPK'!D:D,D193)</f>
        <v>2</v>
      </c>
    </row>
    <row r="194" spans="1:5" x14ac:dyDescent="0.2">
      <c r="A194" s="9">
        <v>43</v>
      </c>
      <c r="B194" s="6" t="s">
        <v>156</v>
      </c>
      <c r="C194" s="7" t="s">
        <v>193</v>
      </c>
      <c r="D194" s="7" t="s">
        <v>197</v>
      </c>
      <c r="E194" s="8">
        <f>COUNTIFS('[1]Detail TPK'!B:B,"BANGKA TENGAH",'[1]Detail TPK'!C:C,C194,'[1]Detail TPK'!D:D,D194)</f>
        <v>3</v>
      </c>
    </row>
    <row r="195" spans="1:5" x14ac:dyDescent="0.2">
      <c r="A195" s="9">
        <v>44</v>
      </c>
      <c r="B195" s="6" t="s">
        <v>156</v>
      </c>
      <c r="C195" s="7" t="s">
        <v>193</v>
      </c>
      <c r="D195" s="7" t="s">
        <v>198</v>
      </c>
      <c r="E195" s="8">
        <f>COUNTIFS('[1]Detail TPK'!B:B,"BANGKA TENGAH",'[1]Detail TPK'!C:C,C195,'[1]Detail TPK'!D:D,D195)</f>
        <v>2</v>
      </c>
    </row>
    <row r="196" spans="1:5" x14ac:dyDescent="0.2">
      <c r="A196" s="9">
        <v>45</v>
      </c>
      <c r="B196" s="6" t="s">
        <v>156</v>
      </c>
      <c r="C196" s="7" t="s">
        <v>193</v>
      </c>
      <c r="D196" s="7" t="s">
        <v>199</v>
      </c>
      <c r="E196" s="8">
        <f>COUNTIFS('[1]Detail TPK'!B:B,"BANGKA TENGAH",'[1]Detail TPK'!C:C,C196,'[1]Detail TPK'!D:D,D196)</f>
        <v>2</v>
      </c>
    </row>
    <row r="197" spans="1:5" x14ac:dyDescent="0.2">
      <c r="A197" s="9">
        <v>46</v>
      </c>
      <c r="B197" s="6" t="s">
        <v>156</v>
      </c>
      <c r="C197" s="7" t="s">
        <v>193</v>
      </c>
      <c r="D197" s="7" t="s">
        <v>200</v>
      </c>
      <c r="E197" s="8">
        <f>COUNTIFS('[1]Detail TPK'!B:B,"BANGKA TENGAH",'[1]Detail TPK'!C:C,C197,'[1]Detail TPK'!D:D,D197)</f>
        <v>2</v>
      </c>
    </row>
    <row r="198" spans="1:5" x14ac:dyDescent="0.2">
      <c r="A198" s="9">
        <v>47</v>
      </c>
      <c r="B198" s="6" t="s">
        <v>156</v>
      </c>
      <c r="C198" s="7" t="s">
        <v>201</v>
      </c>
      <c r="D198" s="7" t="s">
        <v>201</v>
      </c>
      <c r="E198" s="8">
        <f>COUNTIFS('[1]Detail TPK'!B:B,"BANGKA TENGAH",'[1]Detail TPK'!C:C,C198,'[1]Detail TPK'!D:D,D198)</f>
        <v>2</v>
      </c>
    </row>
    <row r="199" spans="1:5" x14ac:dyDescent="0.2">
      <c r="A199" s="9">
        <v>48</v>
      </c>
      <c r="B199" s="6" t="s">
        <v>156</v>
      </c>
      <c r="C199" s="7" t="s">
        <v>201</v>
      </c>
      <c r="D199" s="7" t="s">
        <v>202</v>
      </c>
      <c r="E199" s="8">
        <f>COUNTIFS('[1]Detail TPK'!B:B,"BANGKA TENGAH",'[1]Detail TPK'!C:C,C199,'[1]Detail TPK'!D:D,D199)</f>
        <v>2</v>
      </c>
    </row>
    <row r="200" spans="1:5" x14ac:dyDescent="0.2">
      <c r="A200" s="9">
        <v>49</v>
      </c>
      <c r="B200" s="6" t="s">
        <v>156</v>
      </c>
      <c r="C200" s="7" t="s">
        <v>201</v>
      </c>
      <c r="D200" s="7" t="s">
        <v>86</v>
      </c>
      <c r="E200" s="8">
        <f>COUNTIFS('[1]Detail TPK'!B:B,"BANGKA TENGAH",'[1]Detail TPK'!C:C,C200,'[1]Detail TPK'!D:D,D200)</f>
        <v>2</v>
      </c>
    </row>
    <row r="201" spans="1:5" x14ac:dyDescent="0.2">
      <c r="A201" s="9">
        <v>50</v>
      </c>
      <c r="B201" s="6" t="s">
        <v>156</v>
      </c>
      <c r="C201" s="7" t="s">
        <v>201</v>
      </c>
      <c r="D201" s="7" t="s">
        <v>203</v>
      </c>
      <c r="E201" s="8">
        <f>COUNTIFS('[1]Detail TPK'!B:B,"BANGKA TENGAH",'[1]Detail TPK'!C:C,C201,'[1]Detail TPK'!D:D,D201)</f>
        <v>2</v>
      </c>
    </row>
    <row r="202" spans="1:5" x14ac:dyDescent="0.2">
      <c r="A202" s="9">
        <v>51</v>
      </c>
      <c r="B202" s="6" t="s">
        <v>156</v>
      </c>
      <c r="C202" s="7" t="s">
        <v>201</v>
      </c>
      <c r="D202" s="7" t="s">
        <v>204</v>
      </c>
      <c r="E202" s="8">
        <f>COUNTIFS('[1]Detail TPK'!B:B,"BANGKA TENGAH",'[1]Detail TPK'!C:C,C202,'[1]Detail TPK'!D:D,D202)</f>
        <v>2</v>
      </c>
    </row>
    <row r="203" spans="1:5" x14ac:dyDescent="0.2">
      <c r="A203" s="9">
        <v>52</v>
      </c>
      <c r="B203" s="6" t="s">
        <v>156</v>
      </c>
      <c r="C203" s="7" t="s">
        <v>201</v>
      </c>
      <c r="D203" s="7" t="s">
        <v>205</v>
      </c>
      <c r="E203" s="8">
        <f>COUNTIFS('[1]Detail TPK'!B:B,"BANGKA TENGAH",'[1]Detail TPK'!C:C,C203,'[1]Detail TPK'!D:D,D203)</f>
        <v>2</v>
      </c>
    </row>
    <row r="204" spans="1:5" x14ac:dyDescent="0.2">
      <c r="A204" s="9">
        <v>53</v>
      </c>
      <c r="B204" s="6" t="s">
        <v>156</v>
      </c>
      <c r="C204" s="7" t="s">
        <v>201</v>
      </c>
      <c r="D204" s="7" t="s">
        <v>206</v>
      </c>
      <c r="E204" s="8">
        <f>COUNTIFS('[1]Detail TPK'!B:B,"BANGKA TENGAH",'[1]Detail TPK'!C:C,C204,'[1]Detail TPK'!D:D,D204)</f>
        <v>2</v>
      </c>
    </row>
    <row r="205" spans="1:5" x14ac:dyDescent="0.2">
      <c r="A205" s="9">
        <v>54</v>
      </c>
      <c r="B205" s="6" t="s">
        <v>156</v>
      </c>
      <c r="C205" s="7" t="s">
        <v>201</v>
      </c>
      <c r="D205" s="7" t="s">
        <v>207</v>
      </c>
      <c r="E205" s="8">
        <f>COUNTIFS('[1]Detail TPK'!B:B,"BANGKA TENGAH",'[1]Detail TPK'!C:C,C205,'[1]Detail TPK'!D:D,D205)</f>
        <v>2</v>
      </c>
    </row>
    <row r="206" spans="1:5" x14ac:dyDescent="0.2">
      <c r="A206" s="9">
        <v>55</v>
      </c>
      <c r="B206" s="6" t="s">
        <v>156</v>
      </c>
      <c r="C206" s="7" t="s">
        <v>208</v>
      </c>
      <c r="D206" s="7" t="s">
        <v>209</v>
      </c>
      <c r="E206" s="8">
        <f>COUNTIFS('[1]Detail TPK'!B:B,"BANGKA TENGAH",'[1]Detail TPK'!C:C,C206,'[1]Detail TPK'!D:D,D206)</f>
        <v>3</v>
      </c>
    </row>
    <row r="207" spans="1:5" x14ac:dyDescent="0.2">
      <c r="A207" s="9">
        <v>56</v>
      </c>
      <c r="B207" s="6" t="s">
        <v>156</v>
      </c>
      <c r="C207" s="7" t="s">
        <v>208</v>
      </c>
      <c r="D207" s="7" t="s">
        <v>210</v>
      </c>
      <c r="E207" s="8">
        <f>COUNTIFS('[1]Detail TPK'!B:B,"BANGKA TENGAH",'[1]Detail TPK'!C:C,C207,'[1]Detail TPK'!D:D,D207)</f>
        <v>2</v>
      </c>
    </row>
    <row r="208" spans="1:5" x14ac:dyDescent="0.2">
      <c r="A208" s="9">
        <v>57</v>
      </c>
      <c r="B208" s="6" t="s">
        <v>156</v>
      </c>
      <c r="C208" s="7" t="s">
        <v>208</v>
      </c>
      <c r="D208" s="7" t="s">
        <v>208</v>
      </c>
      <c r="E208" s="8">
        <f>COUNTIFS('[1]Detail TPK'!B:B,"BANGKA TENGAH",'[1]Detail TPK'!C:C,C208,'[1]Detail TPK'!D:D,D208)</f>
        <v>3</v>
      </c>
    </row>
    <row r="209" spans="1:5" x14ac:dyDescent="0.2">
      <c r="A209" s="9">
        <v>58</v>
      </c>
      <c r="B209" s="6" t="s">
        <v>156</v>
      </c>
      <c r="C209" s="7" t="s">
        <v>208</v>
      </c>
      <c r="D209" s="7" t="s">
        <v>211</v>
      </c>
      <c r="E209" s="8">
        <f>COUNTIFS('[1]Detail TPK'!B:B,"BANGKA TENGAH",'[1]Detail TPK'!C:C,C209,'[1]Detail TPK'!D:D,D209)</f>
        <v>2</v>
      </c>
    </row>
    <row r="210" spans="1:5" x14ac:dyDescent="0.2">
      <c r="A210" s="9">
        <v>59</v>
      </c>
      <c r="B210" s="6" t="s">
        <v>156</v>
      </c>
      <c r="C210" s="7" t="s">
        <v>208</v>
      </c>
      <c r="D210" s="7" t="s">
        <v>212</v>
      </c>
      <c r="E210" s="8">
        <f>COUNTIFS('[1]Detail TPK'!B:B,"BANGKA TENGAH",'[1]Detail TPK'!C:C,C210,'[1]Detail TPK'!D:D,D210)</f>
        <v>2</v>
      </c>
    </row>
    <row r="211" spans="1:5" x14ac:dyDescent="0.2">
      <c r="A211" s="9">
        <v>60</v>
      </c>
      <c r="B211" s="6" t="s">
        <v>156</v>
      </c>
      <c r="C211" s="7" t="s">
        <v>208</v>
      </c>
      <c r="D211" s="7" t="s">
        <v>213</v>
      </c>
      <c r="E211" s="8">
        <f>COUNTIFS('[1]Detail TPK'!B:B,"BANGKA TENGAH",'[1]Detail TPK'!C:C,C211,'[1]Detail TPK'!D:D,D211)</f>
        <v>3</v>
      </c>
    </row>
    <row r="212" spans="1:5" x14ac:dyDescent="0.2">
      <c r="A212" s="9">
        <v>61</v>
      </c>
      <c r="B212" s="6" t="s">
        <v>156</v>
      </c>
      <c r="C212" s="7" t="s">
        <v>208</v>
      </c>
      <c r="D212" s="7" t="s">
        <v>214</v>
      </c>
      <c r="E212" s="8">
        <f>COUNTIFS('[1]Detail TPK'!B:B,"BANGKA TENGAH",'[1]Detail TPK'!C:C,C212,'[1]Detail TPK'!D:D,D212)</f>
        <v>2</v>
      </c>
    </row>
    <row r="213" spans="1:5" x14ac:dyDescent="0.2">
      <c r="A213" s="9">
        <v>62</v>
      </c>
      <c r="B213" s="6" t="s">
        <v>156</v>
      </c>
      <c r="C213" s="7" t="s">
        <v>208</v>
      </c>
      <c r="D213" s="7" t="s">
        <v>215</v>
      </c>
      <c r="E213" s="8">
        <f>COUNTIFS('[1]Detail TPK'!B:B,"BANGKA TENGAH",'[1]Detail TPK'!C:C,C213,'[1]Detail TPK'!D:D,D213)</f>
        <v>2</v>
      </c>
    </row>
    <row r="214" spans="1:5" x14ac:dyDescent="0.2">
      <c r="A214" s="9">
        <v>63</v>
      </c>
      <c r="B214" s="6" t="s">
        <v>156</v>
      </c>
      <c r="C214" s="7" t="s">
        <v>208</v>
      </c>
      <c r="D214" s="7" t="s">
        <v>216</v>
      </c>
      <c r="E214" s="8">
        <f>COUNTIFS('[1]Detail TPK'!B:B,"BANGKA TENGAH",'[1]Detail TPK'!C:C,C214,'[1]Detail TPK'!D:D,D214)</f>
        <v>2</v>
      </c>
    </row>
    <row r="215" spans="1:5" x14ac:dyDescent="0.2">
      <c r="A215" s="5">
        <v>1</v>
      </c>
      <c r="B215" s="6" t="s">
        <v>217</v>
      </c>
      <c r="C215" s="7" t="s">
        <v>218</v>
      </c>
      <c r="D215" s="7" t="s">
        <v>219</v>
      </c>
      <c r="E215" s="8">
        <f>COUNTIFS('[1]Detail TPK'!B:B,"BELITUNG TIMUR",'[1]Detail TPK'!C:C,C215,'[1]Detail TPK'!D:D,D215)</f>
        <v>3</v>
      </c>
    </row>
    <row r="216" spans="1:5" x14ac:dyDescent="0.2">
      <c r="A216" s="5">
        <v>2</v>
      </c>
      <c r="B216" s="6" t="s">
        <v>217</v>
      </c>
      <c r="C216" s="7" t="s">
        <v>218</v>
      </c>
      <c r="D216" s="7" t="s">
        <v>220</v>
      </c>
      <c r="E216" s="8">
        <f>COUNTIFS('[1]Detail TPK'!B:B,"BELITUNG TIMUR",'[1]Detail TPK'!C:C,C216,'[1]Detail TPK'!D:D,D216)</f>
        <v>3</v>
      </c>
    </row>
    <row r="217" spans="1:5" x14ac:dyDescent="0.2">
      <c r="A217" s="5">
        <v>3</v>
      </c>
      <c r="B217" s="6" t="s">
        <v>217</v>
      </c>
      <c r="C217" s="7" t="s">
        <v>218</v>
      </c>
      <c r="D217" s="7" t="s">
        <v>221</v>
      </c>
      <c r="E217" s="8">
        <f>COUNTIFS('[1]Detail TPK'!B:B,"BELITUNG TIMUR",'[1]Detail TPK'!C:C,C217,'[1]Detail TPK'!D:D,D217)</f>
        <v>4</v>
      </c>
    </row>
    <row r="218" spans="1:5" x14ac:dyDescent="0.2">
      <c r="A218" s="5">
        <v>4</v>
      </c>
      <c r="B218" s="6" t="s">
        <v>217</v>
      </c>
      <c r="C218" s="7" t="s">
        <v>218</v>
      </c>
      <c r="D218" s="7" t="s">
        <v>222</v>
      </c>
      <c r="E218" s="8">
        <f>COUNTIFS('[1]Detail TPK'!B:B,"BELITUNG TIMUR",'[1]Detail TPK'!C:C,C218,'[1]Detail TPK'!D:D,D218)</f>
        <v>3</v>
      </c>
    </row>
    <row r="219" spans="1:5" x14ac:dyDescent="0.2">
      <c r="A219" s="5">
        <v>5</v>
      </c>
      <c r="B219" s="6" t="s">
        <v>217</v>
      </c>
      <c r="C219" s="7" t="s">
        <v>218</v>
      </c>
      <c r="D219" s="7" t="s">
        <v>223</v>
      </c>
      <c r="E219" s="8">
        <f>COUNTIFS('[1]Detail TPK'!B:B,"BELITUNG TIMUR",'[1]Detail TPK'!C:C,C219,'[1]Detail TPK'!D:D,D219)</f>
        <v>3</v>
      </c>
    </row>
    <row r="220" spans="1:5" x14ac:dyDescent="0.2">
      <c r="A220" s="5">
        <v>6</v>
      </c>
      <c r="B220" s="6" t="s">
        <v>217</v>
      </c>
      <c r="C220" s="7" t="s">
        <v>218</v>
      </c>
      <c r="D220" s="7" t="s">
        <v>224</v>
      </c>
      <c r="E220" s="8">
        <f>COUNTIFS('[1]Detail TPK'!B:B,"BELITUNG TIMUR",'[1]Detail TPK'!C:C,C220,'[1]Detail TPK'!D:D,D220)</f>
        <v>6</v>
      </c>
    </row>
    <row r="221" spans="1:5" x14ac:dyDescent="0.2">
      <c r="A221" s="5">
        <v>7</v>
      </c>
      <c r="B221" s="6" t="s">
        <v>217</v>
      </c>
      <c r="C221" s="7" t="s">
        <v>218</v>
      </c>
      <c r="D221" s="7" t="s">
        <v>225</v>
      </c>
      <c r="E221" s="8">
        <f>COUNTIFS('[1]Detail TPK'!B:B,"BELITUNG TIMUR",'[1]Detail TPK'!C:C,C221,'[1]Detail TPK'!D:D,D221)</f>
        <v>2</v>
      </c>
    </row>
    <row r="222" spans="1:5" x14ac:dyDescent="0.2">
      <c r="A222" s="5">
        <v>8</v>
      </c>
      <c r="B222" s="6" t="s">
        <v>217</v>
      </c>
      <c r="C222" s="7" t="s">
        <v>218</v>
      </c>
      <c r="D222" s="7" t="s">
        <v>226</v>
      </c>
      <c r="E222" s="8">
        <f>COUNTIFS('[1]Detail TPK'!B:B,"BELITUNG TIMUR",'[1]Detail TPK'!C:C,C222,'[1]Detail TPK'!D:D,D222)</f>
        <v>3</v>
      </c>
    </row>
    <row r="223" spans="1:5" x14ac:dyDescent="0.2">
      <c r="A223" s="5">
        <v>9</v>
      </c>
      <c r="B223" s="6" t="s">
        <v>217</v>
      </c>
      <c r="C223" s="7" t="s">
        <v>218</v>
      </c>
      <c r="D223" s="7" t="s">
        <v>227</v>
      </c>
      <c r="E223" s="8">
        <f>COUNTIFS('[1]Detail TPK'!B:B,"BELITUNG TIMUR",'[1]Detail TPK'!C:C,C223,'[1]Detail TPK'!D:D,D223)</f>
        <v>2</v>
      </c>
    </row>
    <row r="224" spans="1:5" x14ac:dyDescent="0.2">
      <c r="A224" s="5">
        <v>10</v>
      </c>
      <c r="B224" s="6" t="s">
        <v>217</v>
      </c>
      <c r="C224" s="7" t="s">
        <v>228</v>
      </c>
      <c r="D224" s="7" t="s">
        <v>228</v>
      </c>
      <c r="E224" s="8">
        <f>COUNTIFS('[1]Detail TPK'!B:B,"BELITUNG TIMUR",'[1]Detail TPK'!C:C,C224,'[1]Detail TPK'!D:D,D224)</f>
        <v>3</v>
      </c>
    </row>
    <row r="225" spans="1:5" x14ac:dyDescent="0.2">
      <c r="A225" s="5">
        <v>11</v>
      </c>
      <c r="B225" s="6" t="s">
        <v>217</v>
      </c>
      <c r="C225" s="7" t="s">
        <v>228</v>
      </c>
      <c r="D225" s="7" t="s">
        <v>229</v>
      </c>
      <c r="E225" s="8">
        <f>COUNTIFS('[1]Detail TPK'!B:B,"BELITUNG TIMUR",'[1]Detail TPK'!C:C,C225,'[1]Detail TPK'!D:D,D225)</f>
        <v>4</v>
      </c>
    </row>
    <row r="226" spans="1:5" x14ac:dyDescent="0.2">
      <c r="A226" s="5">
        <v>12</v>
      </c>
      <c r="B226" s="6" t="s">
        <v>217</v>
      </c>
      <c r="C226" s="7" t="s">
        <v>228</v>
      </c>
      <c r="D226" s="7" t="s">
        <v>230</v>
      </c>
      <c r="E226" s="8">
        <f>COUNTIFS('[1]Detail TPK'!B:B,"BELITUNG TIMUR",'[1]Detail TPK'!C:C,C226,'[1]Detail TPK'!D:D,D226)</f>
        <v>2</v>
      </c>
    </row>
    <row r="227" spans="1:5" x14ac:dyDescent="0.2">
      <c r="A227" s="5">
        <v>13</v>
      </c>
      <c r="B227" s="6" t="s">
        <v>217</v>
      </c>
      <c r="C227" s="7" t="s">
        <v>228</v>
      </c>
      <c r="D227" s="7" t="s">
        <v>231</v>
      </c>
      <c r="E227" s="8">
        <f>COUNTIFS('[1]Detail TPK'!B:B,"BELITUNG TIMUR",'[1]Detail TPK'!C:C,C227,'[1]Detail TPK'!D:D,D227)</f>
        <v>2</v>
      </c>
    </row>
    <row r="228" spans="1:5" x14ac:dyDescent="0.2">
      <c r="A228" s="5">
        <v>14</v>
      </c>
      <c r="B228" s="6" t="s">
        <v>217</v>
      </c>
      <c r="C228" s="7" t="s">
        <v>228</v>
      </c>
      <c r="D228" s="7" t="s">
        <v>232</v>
      </c>
      <c r="E228" s="8">
        <f>COUNTIFS('[1]Detail TPK'!B:B,"BELITUNG TIMUR",'[1]Detail TPK'!C:C,C228,'[1]Detail TPK'!D:D,D228)</f>
        <v>3</v>
      </c>
    </row>
    <row r="229" spans="1:5" x14ac:dyDescent="0.2">
      <c r="A229" s="5">
        <v>15</v>
      </c>
      <c r="B229" s="6" t="s">
        <v>217</v>
      </c>
      <c r="C229" s="7" t="s">
        <v>228</v>
      </c>
      <c r="D229" s="7" t="s">
        <v>233</v>
      </c>
      <c r="E229" s="8">
        <f>COUNTIFS('[1]Detail TPK'!B:B,"BELITUNG TIMUR",'[1]Detail TPK'!C:C,C229,'[1]Detail TPK'!D:D,D229)</f>
        <v>4</v>
      </c>
    </row>
    <row r="230" spans="1:5" x14ac:dyDescent="0.2">
      <c r="A230" s="5">
        <v>16</v>
      </c>
      <c r="B230" s="6" t="s">
        <v>217</v>
      </c>
      <c r="C230" s="7" t="s">
        <v>228</v>
      </c>
      <c r="D230" s="7" t="s">
        <v>234</v>
      </c>
      <c r="E230" s="8">
        <f>COUNTIFS('[1]Detail TPK'!B:B,"BELITUNG TIMUR",'[1]Detail TPK'!C:C,C230,'[1]Detail TPK'!D:D,D230)</f>
        <v>2</v>
      </c>
    </row>
    <row r="231" spans="1:5" x14ac:dyDescent="0.2">
      <c r="A231" s="5">
        <v>17</v>
      </c>
      <c r="B231" s="6" t="s">
        <v>217</v>
      </c>
      <c r="C231" s="7" t="s">
        <v>126</v>
      </c>
      <c r="D231" s="7" t="s">
        <v>126</v>
      </c>
      <c r="E231" s="8">
        <f>COUNTIFS('[1]Detail TPK'!B:B,"BELITUNG TIMUR",'[1]Detail TPK'!C:C,C231,'[1]Detail TPK'!D:D,D231)</f>
        <v>2</v>
      </c>
    </row>
    <row r="232" spans="1:5" x14ac:dyDescent="0.2">
      <c r="A232" s="5">
        <v>18</v>
      </c>
      <c r="B232" s="6" t="s">
        <v>217</v>
      </c>
      <c r="C232" s="7" t="s">
        <v>126</v>
      </c>
      <c r="D232" s="7" t="s">
        <v>235</v>
      </c>
      <c r="E232" s="8">
        <f>COUNTIFS('[1]Detail TPK'!B:B,"BELITUNG TIMUR",'[1]Detail TPK'!C:C,C232,'[1]Detail TPK'!D:D,D232)</f>
        <v>3</v>
      </c>
    </row>
    <row r="233" spans="1:5" x14ac:dyDescent="0.2">
      <c r="A233" s="5">
        <v>19</v>
      </c>
      <c r="B233" s="6" t="s">
        <v>217</v>
      </c>
      <c r="C233" s="7" t="s">
        <v>126</v>
      </c>
      <c r="D233" s="7" t="s">
        <v>236</v>
      </c>
      <c r="E233" s="8">
        <f>COUNTIFS('[1]Detail TPK'!B:B,"BELITUNG TIMUR",'[1]Detail TPK'!C:C,C233,'[1]Detail TPK'!D:D,D233)</f>
        <v>3</v>
      </c>
    </row>
    <row r="234" spans="1:5" x14ac:dyDescent="0.2">
      <c r="A234" s="5">
        <v>20</v>
      </c>
      <c r="B234" s="6" t="s">
        <v>217</v>
      </c>
      <c r="C234" s="7" t="s">
        <v>126</v>
      </c>
      <c r="D234" s="7" t="s">
        <v>237</v>
      </c>
      <c r="E234" s="8">
        <f>COUNTIFS('[1]Detail TPK'!B:B,"BELITUNG TIMUR",'[1]Detail TPK'!C:C,C234,'[1]Detail TPK'!D:D,D234)</f>
        <v>2</v>
      </c>
    </row>
    <row r="235" spans="1:5" x14ac:dyDescent="0.2">
      <c r="A235" s="5">
        <v>21</v>
      </c>
      <c r="B235" s="6" t="s">
        <v>217</v>
      </c>
      <c r="C235" s="7" t="s">
        <v>238</v>
      </c>
      <c r="D235" s="7" t="s">
        <v>239</v>
      </c>
      <c r="E235" s="8">
        <f>COUNTIFS('[1]Detail TPK'!B:B,"BELITUNG TIMUR",'[1]Detail TPK'!C:C,C235,'[1]Detail TPK'!D:D,D235)</f>
        <v>3</v>
      </c>
    </row>
    <row r="236" spans="1:5" x14ac:dyDescent="0.2">
      <c r="A236" s="5">
        <v>22</v>
      </c>
      <c r="B236" s="6" t="s">
        <v>217</v>
      </c>
      <c r="C236" s="7" t="s">
        <v>238</v>
      </c>
      <c r="D236" s="7" t="s">
        <v>240</v>
      </c>
      <c r="E236" s="8">
        <f>COUNTIFS('[1]Detail TPK'!B:B,"BELITUNG TIMUR",'[1]Detail TPK'!C:C,C236,'[1]Detail TPK'!D:D,D236)</f>
        <v>3</v>
      </c>
    </row>
    <row r="237" spans="1:5" x14ac:dyDescent="0.2">
      <c r="A237" s="5">
        <v>23</v>
      </c>
      <c r="B237" s="6" t="s">
        <v>217</v>
      </c>
      <c r="C237" s="7" t="s">
        <v>238</v>
      </c>
      <c r="D237" s="7" t="s">
        <v>241</v>
      </c>
      <c r="E237" s="8">
        <f>COUNTIFS('[1]Detail TPK'!B:B,"BELITUNG TIMUR",'[1]Detail TPK'!C:C,C237,'[1]Detail TPK'!D:D,D237)</f>
        <v>3</v>
      </c>
    </row>
    <row r="238" spans="1:5" x14ac:dyDescent="0.2">
      <c r="A238" s="5">
        <v>24</v>
      </c>
      <c r="B238" s="6" t="s">
        <v>217</v>
      </c>
      <c r="C238" s="7" t="s">
        <v>238</v>
      </c>
      <c r="D238" s="7" t="s">
        <v>242</v>
      </c>
      <c r="E238" s="8">
        <f>COUNTIFS('[1]Detail TPK'!B:B,"BELITUNG TIMUR",'[1]Detail TPK'!C:C,C238,'[1]Detail TPK'!D:D,D238)</f>
        <v>3</v>
      </c>
    </row>
    <row r="239" spans="1:5" x14ac:dyDescent="0.2">
      <c r="A239" s="5">
        <v>25</v>
      </c>
      <c r="B239" s="6" t="s">
        <v>217</v>
      </c>
      <c r="C239" s="7" t="s">
        <v>238</v>
      </c>
      <c r="D239" s="7" t="s">
        <v>101</v>
      </c>
      <c r="E239" s="8">
        <f>COUNTIFS('[1]Detail TPK'!B:B,"BELITUNG TIMUR",'[1]Detail TPK'!C:C,C239,'[1]Detail TPK'!D:D,D239)</f>
        <v>2</v>
      </c>
    </row>
    <row r="240" spans="1:5" x14ac:dyDescent="0.2">
      <c r="A240" s="5">
        <v>26</v>
      </c>
      <c r="B240" s="6" t="s">
        <v>217</v>
      </c>
      <c r="C240" s="7" t="s">
        <v>238</v>
      </c>
      <c r="D240" s="7" t="s">
        <v>243</v>
      </c>
      <c r="E240" s="8">
        <f>COUNTIFS('[1]Detail TPK'!B:B,"BELITUNG TIMUR",'[1]Detail TPK'!C:C,C240,'[1]Detail TPK'!D:D,D240)</f>
        <v>2</v>
      </c>
    </row>
    <row r="241" spans="1:5" x14ac:dyDescent="0.2">
      <c r="A241" s="5">
        <v>27</v>
      </c>
      <c r="B241" s="6" t="s">
        <v>217</v>
      </c>
      <c r="C241" s="7" t="s">
        <v>244</v>
      </c>
      <c r="D241" s="7" t="s">
        <v>245</v>
      </c>
      <c r="E241" s="8">
        <f>COUNTIFS('[1]Detail TPK'!B:B,"BELITUNG TIMUR",'[1]Detail TPK'!C:C,C241,'[1]Detail TPK'!D:D,D241)</f>
        <v>2</v>
      </c>
    </row>
    <row r="242" spans="1:5" x14ac:dyDescent="0.2">
      <c r="A242" s="5">
        <v>28</v>
      </c>
      <c r="B242" s="6" t="s">
        <v>217</v>
      </c>
      <c r="C242" s="7" t="s">
        <v>244</v>
      </c>
      <c r="D242" s="7" t="s">
        <v>246</v>
      </c>
      <c r="E242" s="8">
        <f>COUNTIFS('[1]Detail TPK'!B:B,"BELITUNG TIMUR",'[1]Detail TPK'!C:C,C242,'[1]Detail TPK'!D:D,D242)</f>
        <v>3</v>
      </c>
    </row>
    <row r="243" spans="1:5" x14ac:dyDescent="0.2">
      <c r="A243" s="5">
        <v>29</v>
      </c>
      <c r="B243" s="6" t="s">
        <v>217</v>
      </c>
      <c r="C243" s="7" t="s">
        <v>244</v>
      </c>
      <c r="D243" s="7" t="s">
        <v>247</v>
      </c>
      <c r="E243" s="8">
        <f>COUNTIFS('[1]Detail TPK'!B:B,"BELITUNG TIMUR",'[1]Detail TPK'!C:C,C243,'[1]Detail TPK'!D:D,D243)</f>
        <v>3</v>
      </c>
    </row>
    <row r="244" spans="1:5" x14ac:dyDescent="0.2">
      <c r="A244" s="5">
        <v>30</v>
      </c>
      <c r="B244" s="6" t="s">
        <v>217</v>
      </c>
      <c r="C244" s="7" t="s">
        <v>244</v>
      </c>
      <c r="D244" s="7" t="s">
        <v>248</v>
      </c>
      <c r="E244" s="8">
        <f>COUNTIFS('[1]Detail TPK'!B:B,"BELITUNG TIMUR",'[1]Detail TPK'!C:C,C244,'[1]Detail TPK'!D:D,D244)</f>
        <v>3</v>
      </c>
    </row>
    <row r="245" spans="1:5" x14ac:dyDescent="0.2">
      <c r="A245" s="5">
        <v>31</v>
      </c>
      <c r="B245" s="6" t="s">
        <v>217</v>
      </c>
      <c r="C245" s="7" t="s">
        <v>244</v>
      </c>
      <c r="D245" s="7" t="s">
        <v>249</v>
      </c>
      <c r="E245" s="8">
        <f>COUNTIFS('[1]Detail TPK'!B:B,"BELITUNG TIMUR",'[1]Detail TPK'!C:C,C245,'[1]Detail TPK'!D:D,D245)</f>
        <v>3</v>
      </c>
    </row>
    <row r="246" spans="1:5" x14ac:dyDescent="0.2">
      <c r="A246" s="5">
        <v>32</v>
      </c>
      <c r="B246" s="6" t="s">
        <v>217</v>
      </c>
      <c r="C246" s="7" t="s">
        <v>250</v>
      </c>
      <c r="D246" s="7" t="s">
        <v>107</v>
      </c>
      <c r="E246" s="8">
        <f>COUNTIFS('[1]Detail TPK'!B:B,"BELITUNG TIMUR",'[1]Detail TPK'!C:C,C246,'[1]Detail TPK'!D:D,D246)</f>
        <v>2</v>
      </c>
    </row>
    <row r="247" spans="1:5" x14ac:dyDescent="0.2">
      <c r="A247" s="5">
        <v>33</v>
      </c>
      <c r="B247" s="6" t="s">
        <v>217</v>
      </c>
      <c r="C247" s="7" t="s">
        <v>250</v>
      </c>
      <c r="D247" s="7" t="s">
        <v>251</v>
      </c>
      <c r="E247" s="8">
        <f>COUNTIFS('[1]Detail TPK'!B:B,"BELITUNG TIMUR",'[1]Detail TPK'!C:C,C247,'[1]Detail TPK'!D:D,D247)</f>
        <v>3</v>
      </c>
    </row>
    <row r="248" spans="1:5" x14ac:dyDescent="0.2">
      <c r="A248" s="5">
        <v>34</v>
      </c>
      <c r="B248" s="6" t="s">
        <v>217</v>
      </c>
      <c r="C248" s="7" t="s">
        <v>250</v>
      </c>
      <c r="D248" s="7" t="s">
        <v>252</v>
      </c>
      <c r="E248" s="8">
        <f>COUNTIFS('[1]Detail TPK'!B:B,"BELITUNG TIMUR",'[1]Detail TPK'!C:C,C248,'[1]Detail TPK'!D:D,D248)</f>
        <v>2</v>
      </c>
    </row>
    <row r="249" spans="1:5" x14ac:dyDescent="0.2">
      <c r="A249" s="5">
        <v>35</v>
      </c>
      <c r="B249" s="6" t="s">
        <v>217</v>
      </c>
      <c r="C249" s="7" t="s">
        <v>250</v>
      </c>
      <c r="D249" s="7" t="s">
        <v>253</v>
      </c>
      <c r="E249" s="8">
        <f>COUNTIFS('[1]Detail TPK'!B:B,"BELITUNG TIMUR",'[1]Detail TPK'!C:C,C249,'[1]Detail TPK'!D:D,D249)</f>
        <v>3</v>
      </c>
    </row>
    <row r="250" spans="1:5" x14ac:dyDescent="0.2">
      <c r="A250" s="5">
        <v>36</v>
      </c>
      <c r="B250" s="6" t="s">
        <v>217</v>
      </c>
      <c r="C250" s="7" t="s">
        <v>254</v>
      </c>
      <c r="D250" s="7" t="s">
        <v>254</v>
      </c>
      <c r="E250" s="8">
        <f>COUNTIFS('[1]Detail TPK'!B:B,"BELITUNG TIMUR",'[1]Detail TPK'!C:C,C250,'[1]Detail TPK'!D:D,D250)</f>
        <v>3</v>
      </c>
    </row>
    <row r="251" spans="1:5" x14ac:dyDescent="0.2">
      <c r="A251" s="5">
        <v>37</v>
      </c>
      <c r="B251" s="6" t="s">
        <v>217</v>
      </c>
      <c r="C251" s="7" t="s">
        <v>254</v>
      </c>
      <c r="D251" s="7" t="s">
        <v>255</v>
      </c>
      <c r="E251" s="8">
        <f>COUNTIFS('[1]Detail TPK'!B:B,"BELITUNG TIMUR",'[1]Detail TPK'!C:C,C251,'[1]Detail TPK'!D:D,D251)</f>
        <v>3</v>
      </c>
    </row>
    <row r="252" spans="1:5" x14ac:dyDescent="0.2">
      <c r="A252" s="5">
        <v>38</v>
      </c>
      <c r="B252" s="6" t="s">
        <v>217</v>
      </c>
      <c r="C252" s="7" t="s">
        <v>254</v>
      </c>
      <c r="D252" s="7" t="s">
        <v>256</v>
      </c>
      <c r="E252" s="8">
        <f>COUNTIFS('[1]Detail TPK'!B:B,"BELITUNG TIMUR",'[1]Detail TPK'!C:C,C252,'[1]Detail TPK'!D:D,D252)</f>
        <v>2</v>
      </c>
    </row>
    <row r="253" spans="1:5" x14ac:dyDescent="0.2">
      <c r="A253" s="5">
        <v>39</v>
      </c>
      <c r="B253" s="6" t="s">
        <v>217</v>
      </c>
      <c r="C253" s="7" t="s">
        <v>254</v>
      </c>
      <c r="D253" s="7" t="s">
        <v>257</v>
      </c>
      <c r="E253" s="8">
        <f>COUNTIFS('[1]Detail TPK'!B:B,"BELITUNG TIMUR",'[1]Detail TPK'!C:C,C253,'[1]Detail TPK'!D:D,D253)</f>
        <v>2</v>
      </c>
    </row>
    <row r="254" spans="1:5" x14ac:dyDescent="0.2">
      <c r="A254" s="9">
        <v>1</v>
      </c>
      <c r="B254" s="6" t="s">
        <v>258</v>
      </c>
      <c r="C254" s="7" t="s">
        <v>259</v>
      </c>
      <c r="D254" s="7" t="s">
        <v>259</v>
      </c>
      <c r="E254" s="8">
        <f>COUNTIFS('[1]Detail TPK'!B:B,"BANGKA SELATAN",'[1]Detail TPK'!C:C,C254,'[1]Detail TPK'!D:D,D254)</f>
        <v>5</v>
      </c>
    </row>
    <row r="255" spans="1:5" x14ac:dyDescent="0.2">
      <c r="A255" s="9">
        <v>2</v>
      </c>
      <c r="B255" s="6" t="s">
        <v>258</v>
      </c>
      <c r="C255" s="7" t="s">
        <v>259</v>
      </c>
      <c r="D255" s="7" t="s">
        <v>260</v>
      </c>
      <c r="E255" s="8">
        <f>COUNTIFS('[1]Detail TPK'!B:B,"BANGKA SELATAN",'[1]Detail TPK'!C:C,C255,'[1]Detail TPK'!D:D,D255)</f>
        <v>5</v>
      </c>
    </row>
    <row r="256" spans="1:5" x14ac:dyDescent="0.2">
      <c r="A256" s="9">
        <v>3</v>
      </c>
      <c r="B256" s="6" t="s">
        <v>258</v>
      </c>
      <c r="C256" s="7" t="s">
        <v>259</v>
      </c>
      <c r="D256" s="7" t="s">
        <v>261</v>
      </c>
      <c r="E256" s="8">
        <f>COUNTIFS('[1]Detail TPK'!B:B,"BANGKA SELATAN",'[1]Detail TPK'!C:C,C256,'[1]Detail TPK'!D:D,D256)</f>
        <v>5</v>
      </c>
    </row>
    <row r="257" spans="1:5" x14ac:dyDescent="0.2">
      <c r="A257" s="9">
        <v>4</v>
      </c>
      <c r="B257" s="6" t="s">
        <v>258</v>
      </c>
      <c r="C257" s="7" t="s">
        <v>259</v>
      </c>
      <c r="D257" s="7" t="s">
        <v>262</v>
      </c>
      <c r="E257" s="8">
        <f>COUNTIFS('[1]Detail TPK'!B:B,"BANGKA SELATAN",'[1]Detail TPK'!C:C,C257,'[1]Detail TPK'!D:D,D257)</f>
        <v>3</v>
      </c>
    </row>
    <row r="258" spans="1:5" x14ac:dyDescent="0.2">
      <c r="A258" s="9">
        <v>5</v>
      </c>
      <c r="B258" s="6" t="s">
        <v>258</v>
      </c>
      <c r="C258" s="7" t="s">
        <v>259</v>
      </c>
      <c r="D258" s="7" t="s">
        <v>263</v>
      </c>
      <c r="E258" s="8">
        <f>COUNTIFS('[1]Detail TPK'!B:B,"BANGKA SELATAN",'[1]Detail TPK'!C:C,C258,'[1]Detail TPK'!D:D,D258)</f>
        <v>3</v>
      </c>
    </row>
    <row r="259" spans="1:5" x14ac:dyDescent="0.2">
      <c r="A259" s="9">
        <v>6</v>
      </c>
      <c r="B259" s="6" t="s">
        <v>258</v>
      </c>
      <c r="C259" s="7" t="s">
        <v>259</v>
      </c>
      <c r="D259" s="7" t="s">
        <v>264</v>
      </c>
      <c r="E259" s="8">
        <f>COUNTIFS('[1]Detail TPK'!B:B,"BANGKA SELATAN",'[1]Detail TPK'!C:C,C259,'[1]Detail TPK'!D:D,D259)</f>
        <v>2</v>
      </c>
    </row>
    <row r="260" spans="1:5" x14ac:dyDescent="0.2">
      <c r="A260" s="9">
        <v>7</v>
      </c>
      <c r="B260" s="6" t="s">
        <v>258</v>
      </c>
      <c r="C260" s="7" t="s">
        <v>259</v>
      </c>
      <c r="D260" s="7" t="s">
        <v>265</v>
      </c>
      <c r="E260" s="8">
        <f>COUNTIFS('[1]Detail TPK'!B:B,"BANGKA SELATAN",'[1]Detail TPK'!C:C,C260,'[1]Detail TPK'!D:D,D260)</f>
        <v>4</v>
      </c>
    </row>
    <row r="261" spans="1:5" x14ac:dyDescent="0.2">
      <c r="A261" s="9">
        <v>8</v>
      </c>
      <c r="B261" s="6" t="s">
        <v>258</v>
      </c>
      <c r="C261" s="7" t="s">
        <v>259</v>
      </c>
      <c r="D261" s="7" t="s">
        <v>266</v>
      </c>
      <c r="E261" s="8">
        <f>COUNTIFS('[1]Detail TPK'!B:B,"BANGKA SELATAN",'[1]Detail TPK'!C:C,C261,'[1]Detail TPK'!D:D,D261)</f>
        <v>5</v>
      </c>
    </row>
    <row r="262" spans="1:5" x14ac:dyDescent="0.2">
      <c r="A262" s="9">
        <v>9</v>
      </c>
      <c r="B262" s="6" t="s">
        <v>258</v>
      </c>
      <c r="C262" s="7" t="s">
        <v>259</v>
      </c>
      <c r="D262" s="7" t="s">
        <v>267</v>
      </c>
      <c r="E262" s="8">
        <f>COUNTIFS('[1]Detail TPK'!B:B,"BANGKA SELATAN",'[1]Detail TPK'!C:C,C262,'[1]Detail TPK'!D:D,D262)</f>
        <v>2</v>
      </c>
    </row>
    <row r="263" spans="1:5" x14ac:dyDescent="0.2">
      <c r="A263" s="9">
        <v>10</v>
      </c>
      <c r="B263" s="6" t="s">
        <v>258</v>
      </c>
      <c r="C263" s="7" t="s">
        <v>259</v>
      </c>
      <c r="D263" s="7" t="s">
        <v>268</v>
      </c>
      <c r="E263" s="8">
        <f>COUNTIFS('[1]Detail TPK'!B:B,"BANGKA SELATAN",'[1]Detail TPK'!C:C,C263,'[1]Detail TPK'!D:D,D263)</f>
        <v>3</v>
      </c>
    </row>
    <row r="264" spans="1:5" x14ac:dyDescent="0.2">
      <c r="A264" s="9">
        <v>11</v>
      </c>
      <c r="B264" s="6" t="s">
        <v>258</v>
      </c>
      <c r="C264" s="7" t="s">
        <v>259</v>
      </c>
      <c r="D264" s="7" t="s">
        <v>269</v>
      </c>
      <c r="E264" s="8">
        <f>COUNTIFS('[1]Detail TPK'!B:B,"BANGKA SELATAN",'[1]Detail TPK'!C:C,C264,'[1]Detail TPK'!D:D,D264)</f>
        <v>2</v>
      </c>
    </row>
    <row r="265" spans="1:5" x14ac:dyDescent="0.2">
      <c r="A265" s="9">
        <v>12</v>
      </c>
      <c r="B265" s="6" t="s">
        <v>258</v>
      </c>
      <c r="C265" s="7" t="s">
        <v>270</v>
      </c>
      <c r="D265" s="7" t="s">
        <v>271</v>
      </c>
      <c r="E265" s="8">
        <f>COUNTIFS('[1]Detail TPK'!B:B,"BANGKA SELATAN",'[1]Detail TPK'!C:C,C265,'[1]Detail TPK'!D:D,D265)</f>
        <v>3</v>
      </c>
    </row>
    <row r="266" spans="1:5" x14ac:dyDescent="0.2">
      <c r="A266" s="9">
        <v>13</v>
      </c>
      <c r="B266" s="6" t="s">
        <v>258</v>
      </c>
      <c r="C266" s="7" t="s">
        <v>270</v>
      </c>
      <c r="D266" s="7" t="s">
        <v>272</v>
      </c>
      <c r="E266" s="8">
        <f>COUNTIFS('[1]Detail TPK'!B:B,"BANGKA SELATAN",'[1]Detail TPK'!C:C,C266,'[1]Detail TPK'!D:D,D266)</f>
        <v>3</v>
      </c>
    </row>
    <row r="267" spans="1:5" x14ac:dyDescent="0.2">
      <c r="A267" s="9">
        <v>14</v>
      </c>
      <c r="B267" s="6" t="s">
        <v>258</v>
      </c>
      <c r="C267" s="7" t="s">
        <v>270</v>
      </c>
      <c r="D267" s="7" t="s">
        <v>273</v>
      </c>
      <c r="E267" s="8">
        <f>COUNTIFS('[1]Detail TPK'!B:B,"BANGKA SELATAN",'[1]Detail TPK'!C:C,C267,'[1]Detail TPK'!D:D,D267)</f>
        <v>2</v>
      </c>
    </row>
    <row r="268" spans="1:5" x14ac:dyDescent="0.2">
      <c r="A268" s="9">
        <v>15</v>
      </c>
      <c r="B268" s="6" t="s">
        <v>258</v>
      </c>
      <c r="C268" s="7" t="s">
        <v>270</v>
      </c>
      <c r="D268" s="7" t="s">
        <v>274</v>
      </c>
      <c r="E268" s="8">
        <f>COUNTIFS('[1]Detail TPK'!B:B,"BANGKA SELATAN",'[1]Detail TPK'!C:C,C268,'[1]Detail TPK'!D:D,D268)</f>
        <v>3</v>
      </c>
    </row>
    <row r="269" spans="1:5" x14ac:dyDescent="0.2">
      <c r="A269" s="9">
        <v>16</v>
      </c>
      <c r="B269" s="6" t="s">
        <v>258</v>
      </c>
      <c r="C269" s="7" t="s">
        <v>275</v>
      </c>
      <c r="D269" s="7" t="s">
        <v>275</v>
      </c>
      <c r="E269" s="8">
        <f>COUNTIFS('[1]Detail TPK'!B:B,"BANGKA SELATAN",'[1]Detail TPK'!C:C,C269,'[1]Detail TPK'!D:D,D269)</f>
        <v>3</v>
      </c>
    </row>
    <row r="270" spans="1:5" x14ac:dyDescent="0.2">
      <c r="A270" s="9">
        <v>17</v>
      </c>
      <c r="B270" s="6" t="s">
        <v>258</v>
      </c>
      <c r="C270" s="7" t="s">
        <v>275</v>
      </c>
      <c r="D270" s="7" t="s">
        <v>276</v>
      </c>
      <c r="E270" s="8">
        <f>COUNTIFS('[1]Detail TPK'!B:B,"BANGKA SELATAN",'[1]Detail TPK'!C:C,C270,'[1]Detail TPK'!D:D,D270)</f>
        <v>1</v>
      </c>
    </row>
    <row r="271" spans="1:5" x14ac:dyDescent="0.2">
      <c r="A271" s="9">
        <v>18</v>
      </c>
      <c r="B271" s="6" t="s">
        <v>258</v>
      </c>
      <c r="C271" s="7" t="s">
        <v>275</v>
      </c>
      <c r="D271" s="7" t="s">
        <v>277</v>
      </c>
      <c r="E271" s="8">
        <f>COUNTIFS('[1]Detail TPK'!B:B,"BANGKA SELATAN",'[1]Detail TPK'!C:C,C271,'[1]Detail TPK'!D:D,D271)</f>
        <v>1</v>
      </c>
    </row>
    <row r="272" spans="1:5" x14ac:dyDescent="0.2">
      <c r="A272" s="9">
        <v>19</v>
      </c>
      <c r="B272" s="6" t="s">
        <v>258</v>
      </c>
      <c r="C272" s="7" t="s">
        <v>275</v>
      </c>
      <c r="D272" s="7" t="s">
        <v>278</v>
      </c>
      <c r="E272" s="8">
        <f>COUNTIFS('[1]Detail TPK'!B:B,"BANGKA SELATAN",'[1]Detail TPK'!C:C,C272,'[1]Detail TPK'!D:D,D272)</f>
        <v>2</v>
      </c>
    </row>
    <row r="273" spans="1:5" x14ac:dyDescent="0.2">
      <c r="A273" s="9">
        <v>20</v>
      </c>
      <c r="B273" s="6" t="s">
        <v>258</v>
      </c>
      <c r="C273" s="7" t="s">
        <v>275</v>
      </c>
      <c r="D273" s="7" t="s">
        <v>279</v>
      </c>
      <c r="E273" s="8">
        <f>COUNTIFS('[1]Detail TPK'!B:B,"BANGKA SELATAN",'[1]Detail TPK'!C:C,C273,'[1]Detail TPK'!D:D,D273)</f>
        <v>3</v>
      </c>
    </row>
    <row r="274" spans="1:5" x14ac:dyDescent="0.2">
      <c r="A274" s="9">
        <v>21</v>
      </c>
      <c r="B274" s="6" t="s">
        <v>258</v>
      </c>
      <c r="C274" s="7" t="s">
        <v>275</v>
      </c>
      <c r="D274" s="7" t="s">
        <v>280</v>
      </c>
      <c r="E274" s="8">
        <f>COUNTIFS('[1]Detail TPK'!B:B,"BANGKA SELATAN",'[1]Detail TPK'!C:C,C274,'[1]Detail TPK'!D:D,D274)</f>
        <v>2</v>
      </c>
    </row>
    <row r="275" spans="1:5" x14ac:dyDescent="0.2">
      <c r="A275" s="9">
        <v>22</v>
      </c>
      <c r="B275" s="6" t="s">
        <v>258</v>
      </c>
      <c r="C275" s="7" t="s">
        <v>275</v>
      </c>
      <c r="D275" s="7" t="s">
        <v>281</v>
      </c>
      <c r="E275" s="8">
        <f>COUNTIFS('[1]Detail TPK'!B:B,"BANGKA SELATAN",'[1]Detail TPK'!C:C,C275,'[1]Detail TPK'!D:D,D275)</f>
        <v>2</v>
      </c>
    </row>
    <row r="276" spans="1:5" x14ac:dyDescent="0.2">
      <c r="A276" s="9">
        <v>23</v>
      </c>
      <c r="B276" s="6" t="s">
        <v>258</v>
      </c>
      <c r="C276" s="7" t="s">
        <v>275</v>
      </c>
      <c r="D276" s="7" t="s">
        <v>282</v>
      </c>
      <c r="E276" s="8">
        <f>COUNTIFS('[1]Detail TPK'!B:B,"BANGKA SELATAN",'[1]Detail TPK'!C:C,C276,'[1]Detail TPK'!D:D,D276)</f>
        <v>3</v>
      </c>
    </row>
    <row r="277" spans="1:5" x14ac:dyDescent="0.2">
      <c r="A277" s="9">
        <v>24</v>
      </c>
      <c r="B277" s="6" t="s">
        <v>258</v>
      </c>
      <c r="C277" s="7" t="s">
        <v>275</v>
      </c>
      <c r="D277" s="7" t="s">
        <v>283</v>
      </c>
      <c r="E277" s="8">
        <f>COUNTIFS('[1]Detail TPK'!B:B,"BANGKA SELATAN",'[1]Detail TPK'!C:C,C277,'[1]Detail TPK'!D:D,D277)</f>
        <v>2</v>
      </c>
    </row>
    <row r="278" spans="1:5" x14ac:dyDescent="0.2">
      <c r="A278" s="9">
        <v>25</v>
      </c>
      <c r="B278" s="6" t="s">
        <v>258</v>
      </c>
      <c r="C278" s="7" t="s">
        <v>275</v>
      </c>
      <c r="D278" s="7" t="s">
        <v>284</v>
      </c>
      <c r="E278" s="8">
        <f>COUNTIFS('[1]Detail TPK'!B:B,"BANGKA SELATAN",'[1]Detail TPK'!C:C,C278,'[1]Detail TPK'!D:D,D278)</f>
        <v>3</v>
      </c>
    </row>
    <row r="279" spans="1:5" x14ac:dyDescent="0.2">
      <c r="A279" s="9">
        <v>26</v>
      </c>
      <c r="B279" s="6" t="s">
        <v>258</v>
      </c>
      <c r="C279" s="7" t="s">
        <v>285</v>
      </c>
      <c r="D279" s="7" t="s">
        <v>286</v>
      </c>
      <c r="E279" s="8">
        <f>COUNTIFS('[1]Detail TPK'!B:B,"BANGKA SELATAN",'[1]Detail TPK'!C:C,C279,'[1]Detail TPK'!D:D,D279)</f>
        <v>3</v>
      </c>
    </row>
    <row r="280" spans="1:5" x14ac:dyDescent="0.2">
      <c r="A280" s="9">
        <v>27</v>
      </c>
      <c r="B280" s="6" t="s">
        <v>258</v>
      </c>
      <c r="C280" s="7" t="s">
        <v>285</v>
      </c>
      <c r="D280" s="7" t="s">
        <v>287</v>
      </c>
      <c r="E280" s="8">
        <f>COUNTIFS('[1]Detail TPK'!B:B,"BANGKA SELATAN",'[1]Detail TPK'!C:C,C280,'[1]Detail TPK'!D:D,D280)</f>
        <v>2</v>
      </c>
    </row>
    <row r="281" spans="1:5" x14ac:dyDescent="0.2">
      <c r="A281" s="9">
        <v>28</v>
      </c>
      <c r="B281" s="6" t="s">
        <v>258</v>
      </c>
      <c r="C281" s="7" t="s">
        <v>285</v>
      </c>
      <c r="D281" s="7" t="s">
        <v>288</v>
      </c>
      <c r="E281" s="8">
        <f>COUNTIFS('[1]Detail TPK'!B:B,"BANGKA SELATAN",'[1]Detail TPK'!C:C,C281,'[1]Detail TPK'!D:D,D281)</f>
        <v>3</v>
      </c>
    </row>
    <row r="282" spans="1:5" x14ac:dyDescent="0.2">
      <c r="A282" s="9">
        <v>29</v>
      </c>
      <c r="B282" s="6" t="s">
        <v>258</v>
      </c>
      <c r="C282" s="7" t="s">
        <v>285</v>
      </c>
      <c r="D282" s="7" t="s">
        <v>289</v>
      </c>
      <c r="E282" s="8">
        <f>COUNTIFS('[1]Detail TPK'!B:B,"BANGKA SELATAN",'[1]Detail TPK'!C:C,C282,'[1]Detail TPK'!D:D,D282)</f>
        <v>3</v>
      </c>
    </row>
    <row r="283" spans="1:5" x14ac:dyDescent="0.2">
      <c r="A283" s="9">
        <v>30</v>
      </c>
      <c r="B283" s="6" t="s">
        <v>258</v>
      </c>
      <c r="C283" s="7" t="s">
        <v>285</v>
      </c>
      <c r="D283" s="7" t="s">
        <v>290</v>
      </c>
      <c r="E283" s="8">
        <f>COUNTIFS('[1]Detail TPK'!B:B,"BANGKA SELATAN",'[1]Detail TPK'!C:C,C283,'[1]Detail TPK'!D:D,D283)</f>
        <v>2</v>
      </c>
    </row>
    <row r="284" spans="1:5" x14ac:dyDescent="0.2">
      <c r="A284" s="9">
        <v>31</v>
      </c>
      <c r="B284" s="6" t="s">
        <v>258</v>
      </c>
      <c r="C284" s="7" t="s">
        <v>285</v>
      </c>
      <c r="D284" s="7" t="s">
        <v>285</v>
      </c>
      <c r="E284" s="8">
        <f>COUNTIFS('[1]Detail TPK'!B:B,"BANGKA SELATAN",'[1]Detail TPK'!C:C,C284,'[1]Detail TPK'!D:D,D284)</f>
        <v>2</v>
      </c>
    </row>
    <row r="285" spans="1:5" x14ac:dyDescent="0.2">
      <c r="A285" s="9">
        <v>32</v>
      </c>
      <c r="B285" s="6" t="s">
        <v>258</v>
      </c>
      <c r="C285" s="7" t="s">
        <v>285</v>
      </c>
      <c r="D285" s="7" t="s">
        <v>291</v>
      </c>
      <c r="E285" s="8">
        <f>COUNTIFS('[1]Detail TPK'!B:B,"BANGKA SELATAN",'[1]Detail TPK'!C:C,C285,'[1]Detail TPK'!D:D,D285)</f>
        <v>3</v>
      </c>
    </row>
    <row r="286" spans="1:5" x14ac:dyDescent="0.2">
      <c r="A286" s="9">
        <v>33</v>
      </c>
      <c r="B286" s="6" t="s">
        <v>258</v>
      </c>
      <c r="C286" s="7" t="s">
        <v>292</v>
      </c>
      <c r="D286" s="7" t="s">
        <v>292</v>
      </c>
      <c r="E286" s="8">
        <f>COUNTIFS('[1]Detail TPK'!B:B,"BANGKA SELATAN",'[1]Detail TPK'!C:C,C286,'[1]Detail TPK'!D:D,D286)</f>
        <v>3</v>
      </c>
    </row>
    <row r="287" spans="1:5" x14ac:dyDescent="0.2">
      <c r="A287" s="9">
        <v>34</v>
      </c>
      <c r="B287" s="6" t="s">
        <v>258</v>
      </c>
      <c r="C287" s="7" t="s">
        <v>292</v>
      </c>
      <c r="D287" s="7" t="s">
        <v>293</v>
      </c>
      <c r="E287" s="8">
        <f>COUNTIFS('[1]Detail TPK'!B:B,"BANGKA SELATAN",'[1]Detail TPK'!C:C,C287,'[1]Detail TPK'!D:D,D287)</f>
        <v>1</v>
      </c>
    </row>
    <row r="288" spans="1:5" x14ac:dyDescent="0.2">
      <c r="A288" s="9">
        <v>35</v>
      </c>
      <c r="B288" s="6" t="s">
        <v>258</v>
      </c>
      <c r="C288" s="7" t="s">
        <v>292</v>
      </c>
      <c r="D288" s="7" t="s">
        <v>294</v>
      </c>
      <c r="E288" s="8">
        <f>COUNTIFS('[1]Detail TPK'!B:B,"BANGKA SELATAN",'[1]Detail TPK'!C:C,C288,'[1]Detail TPK'!D:D,D288)</f>
        <v>2</v>
      </c>
    </row>
    <row r="289" spans="1:5" x14ac:dyDescent="0.2">
      <c r="A289" s="9">
        <v>36</v>
      </c>
      <c r="B289" s="6" t="s">
        <v>258</v>
      </c>
      <c r="C289" s="7" t="s">
        <v>292</v>
      </c>
      <c r="D289" s="7" t="s">
        <v>295</v>
      </c>
      <c r="E289" s="8">
        <f>COUNTIFS('[1]Detail TPK'!B:B,"BANGKA SELATAN",'[1]Detail TPK'!C:C,C289,'[1]Detail TPK'!D:D,D289)</f>
        <v>2</v>
      </c>
    </row>
    <row r="290" spans="1:5" x14ac:dyDescent="0.2">
      <c r="A290" s="9">
        <v>37</v>
      </c>
      <c r="B290" s="6" t="s">
        <v>258</v>
      </c>
      <c r="C290" s="7" t="s">
        <v>292</v>
      </c>
      <c r="D290" s="7" t="s">
        <v>296</v>
      </c>
      <c r="E290" s="8">
        <f>COUNTIFS('[1]Detail TPK'!B:B,"BANGKA SELATAN",'[1]Detail TPK'!C:C,C290,'[1]Detail TPK'!D:D,D290)</f>
        <v>1</v>
      </c>
    </row>
    <row r="291" spans="1:5" x14ac:dyDescent="0.2">
      <c r="A291" s="9">
        <v>38</v>
      </c>
      <c r="B291" s="6" t="s">
        <v>258</v>
      </c>
      <c r="C291" s="7" t="s">
        <v>292</v>
      </c>
      <c r="D291" s="7" t="s">
        <v>297</v>
      </c>
      <c r="E291" s="8">
        <f>COUNTIFS('[1]Detail TPK'!B:B,"BANGKA SELATAN",'[1]Detail TPK'!C:C,C291,'[1]Detail TPK'!D:D,D291)</f>
        <v>1</v>
      </c>
    </row>
    <row r="292" spans="1:5" x14ac:dyDescent="0.2">
      <c r="A292" s="9">
        <v>39</v>
      </c>
      <c r="B292" s="6" t="s">
        <v>258</v>
      </c>
      <c r="C292" s="7" t="s">
        <v>292</v>
      </c>
      <c r="D292" s="7" t="s">
        <v>298</v>
      </c>
      <c r="E292" s="8">
        <f>COUNTIFS('[1]Detail TPK'!B:B,"BANGKA SELATAN",'[1]Detail TPK'!C:C,C292,'[1]Detail TPK'!D:D,D292)</f>
        <v>2</v>
      </c>
    </row>
    <row r="293" spans="1:5" x14ac:dyDescent="0.2">
      <c r="A293" s="9">
        <v>40</v>
      </c>
      <c r="B293" s="6" t="s">
        <v>258</v>
      </c>
      <c r="C293" s="7" t="s">
        <v>292</v>
      </c>
      <c r="D293" s="7" t="s">
        <v>299</v>
      </c>
      <c r="E293" s="8">
        <f>COUNTIFS('[1]Detail TPK'!B:B,"BANGKA SELATAN",'[1]Detail TPK'!C:C,C293,'[1]Detail TPK'!D:D,D293)</f>
        <v>3</v>
      </c>
    </row>
    <row r="294" spans="1:5" x14ac:dyDescent="0.2">
      <c r="A294" s="9">
        <v>41</v>
      </c>
      <c r="B294" s="6" t="s">
        <v>258</v>
      </c>
      <c r="C294" s="7" t="s">
        <v>292</v>
      </c>
      <c r="D294" s="7" t="s">
        <v>300</v>
      </c>
      <c r="E294" s="8">
        <f>COUNTIFS('[1]Detail TPK'!B:B,"BANGKA SELATAN",'[1]Detail TPK'!C:C,C294,'[1]Detail TPK'!D:D,D294)</f>
        <v>3</v>
      </c>
    </row>
    <row r="295" spans="1:5" x14ac:dyDescent="0.2">
      <c r="A295" s="9">
        <v>42</v>
      </c>
      <c r="B295" s="6" t="s">
        <v>258</v>
      </c>
      <c r="C295" s="7" t="s">
        <v>301</v>
      </c>
      <c r="D295" s="7" t="s">
        <v>302</v>
      </c>
      <c r="E295" s="8">
        <f>COUNTIFS('[1]Detail TPK'!B:B,"BANGKA SELATAN",'[1]Detail TPK'!C:C,C295,'[1]Detail TPK'!D:D,D295)</f>
        <v>3</v>
      </c>
    </row>
    <row r="296" spans="1:5" x14ac:dyDescent="0.2">
      <c r="A296" s="9">
        <v>43</v>
      </c>
      <c r="B296" s="6" t="s">
        <v>258</v>
      </c>
      <c r="C296" s="7" t="s">
        <v>301</v>
      </c>
      <c r="D296" s="7" t="s">
        <v>303</v>
      </c>
      <c r="E296" s="8">
        <f>COUNTIFS('[1]Detail TPK'!B:B,"BANGKA SELATAN",'[1]Detail TPK'!C:C,C296,'[1]Detail TPK'!D:D,D296)</f>
        <v>2</v>
      </c>
    </row>
    <row r="297" spans="1:5" x14ac:dyDescent="0.2">
      <c r="A297" s="9">
        <v>44</v>
      </c>
      <c r="B297" s="6" t="s">
        <v>258</v>
      </c>
      <c r="C297" s="7" t="s">
        <v>301</v>
      </c>
      <c r="D297" s="7" t="s">
        <v>304</v>
      </c>
      <c r="E297" s="8">
        <f>COUNTIFS('[1]Detail TPK'!B:B,"BANGKA SELATAN",'[1]Detail TPK'!C:C,C297,'[1]Detail TPK'!D:D,D297)</f>
        <v>3</v>
      </c>
    </row>
    <row r="298" spans="1:5" x14ac:dyDescent="0.2">
      <c r="A298" s="9">
        <v>45</v>
      </c>
      <c r="B298" s="6" t="s">
        <v>258</v>
      </c>
      <c r="C298" s="7" t="s">
        <v>301</v>
      </c>
      <c r="D298" s="7" t="s">
        <v>305</v>
      </c>
      <c r="E298" s="8">
        <f>COUNTIFS('[1]Detail TPK'!B:B,"BANGKA SELATAN",'[1]Detail TPK'!C:C,C298,'[1]Detail TPK'!D:D,D298)</f>
        <v>2</v>
      </c>
    </row>
    <row r="299" spans="1:5" x14ac:dyDescent="0.2">
      <c r="A299" s="9">
        <v>46</v>
      </c>
      <c r="B299" s="6" t="s">
        <v>258</v>
      </c>
      <c r="C299" s="7" t="s">
        <v>301</v>
      </c>
      <c r="D299" s="7" t="s">
        <v>306</v>
      </c>
      <c r="E299" s="8">
        <f>COUNTIFS('[1]Detail TPK'!B:B,"BANGKA SELATAN",'[1]Detail TPK'!C:C,C299,'[1]Detail TPK'!D:D,D299)</f>
        <v>2</v>
      </c>
    </row>
    <row r="300" spans="1:5" x14ac:dyDescent="0.2">
      <c r="A300" s="9">
        <v>47</v>
      </c>
      <c r="B300" s="6" t="s">
        <v>258</v>
      </c>
      <c r="C300" s="7" t="s">
        <v>307</v>
      </c>
      <c r="D300" s="7" t="s">
        <v>308</v>
      </c>
      <c r="E300" s="8">
        <f>COUNTIFS('[1]Detail TPK'!B:B,"BANGKA SELATAN",'[1]Detail TPK'!C:C,C300,'[1]Detail TPK'!D:D,D300)</f>
        <v>3</v>
      </c>
    </row>
    <row r="301" spans="1:5" x14ac:dyDescent="0.2">
      <c r="A301" s="9">
        <v>48</v>
      </c>
      <c r="B301" s="6" t="s">
        <v>258</v>
      </c>
      <c r="C301" s="7" t="s">
        <v>307</v>
      </c>
      <c r="D301" s="7" t="s">
        <v>309</v>
      </c>
      <c r="E301" s="8">
        <f>COUNTIFS('[1]Detail TPK'!B:B,"BANGKA SELATAN",'[1]Detail TPK'!C:C,C301,'[1]Detail TPK'!D:D,D301)</f>
        <v>2</v>
      </c>
    </row>
    <row r="302" spans="1:5" x14ac:dyDescent="0.2">
      <c r="A302" s="9">
        <v>49</v>
      </c>
      <c r="B302" s="6" t="s">
        <v>258</v>
      </c>
      <c r="C302" s="7" t="s">
        <v>307</v>
      </c>
      <c r="D302" s="7" t="s">
        <v>310</v>
      </c>
      <c r="E302" s="8">
        <f>COUNTIFS('[1]Detail TPK'!B:B,"BANGKA SELATAN",'[1]Detail TPK'!C:C,C302,'[1]Detail TPK'!D:D,D302)</f>
        <v>2</v>
      </c>
    </row>
    <row r="303" spans="1:5" x14ac:dyDescent="0.2">
      <c r="A303" s="9">
        <v>50</v>
      </c>
      <c r="B303" s="6" t="s">
        <v>258</v>
      </c>
      <c r="C303" s="7" t="s">
        <v>307</v>
      </c>
      <c r="D303" s="7" t="s">
        <v>311</v>
      </c>
      <c r="E303" s="8">
        <f>COUNTIFS('[1]Detail TPK'!B:B,"BANGKA SELATAN",'[1]Detail TPK'!C:C,C303,'[1]Detail TPK'!D:D,D303)</f>
        <v>2</v>
      </c>
    </row>
    <row r="304" spans="1:5" x14ac:dyDescent="0.2">
      <c r="A304" s="9">
        <v>51</v>
      </c>
      <c r="B304" s="6" t="s">
        <v>258</v>
      </c>
      <c r="C304" s="7" t="s">
        <v>307</v>
      </c>
      <c r="D304" s="7" t="s">
        <v>312</v>
      </c>
      <c r="E304" s="8">
        <f>COUNTIFS('[1]Detail TPK'!B:B,"BANGKA SELATAN",'[1]Detail TPK'!C:C,C304,'[1]Detail TPK'!D:D,D304)</f>
        <v>2</v>
      </c>
    </row>
    <row r="305" spans="1:5" x14ac:dyDescent="0.2">
      <c r="A305" s="9">
        <v>52</v>
      </c>
      <c r="B305" s="6" t="s">
        <v>258</v>
      </c>
      <c r="C305" s="7" t="s">
        <v>313</v>
      </c>
      <c r="D305" s="7" t="s">
        <v>314</v>
      </c>
      <c r="E305" s="8">
        <f>COUNTIFS('[1]Detail TPK'!B:B,"BANGKA SELATAN",'[1]Detail TPK'!C:C,C305,'[1]Detail TPK'!D:D,D305)</f>
        <v>2</v>
      </c>
    </row>
    <row r="306" spans="1:5" x14ac:dyDescent="0.2">
      <c r="A306" s="9">
        <v>53</v>
      </c>
      <c r="B306" s="6" t="s">
        <v>258</v>
      </c>
      <c r="C306" s="7" t="s">
        <v>313</v>
      </c>
      <c r="D306" s="7" t="s">
        <v>315</v>
      </c>
      <c r="E306" s="8">
        <f>COUNTIFS('[1]Detail TPK'!B:B,"BANGKA SELATAN",'[1]Detail TPK'!C:C,C306,'[1]Detail TPK'!D:D,D306)</f>
        <v>2</v>
      </c>
    </row>
    <row r="307" spans="1:5" x14ac:dyDescent="0.2">
      <c r="A307" s="9">
        <v>1</v>
      </c>
      <c r="B307" s="6" t="s">
        <v>316</v>
      </c>
      <c r="C307" s="7" t="s">
        <v>317</v>
      </c>
      <c r="D307" s="7" t="s">
        <v>318</v>
      </c>
      <c r="E307" s="8">
        <f>COUNTIFS('[1]Detail TPK'!B:B,"BELITUNG",'[1]Detail TPK'!C:C,C307,'[1]Detail TPK'!D:D,D307)</f>
        <v>2</v>
      </c>
    </row>
    <row r="308" spans="1:5" x14ac:dyDescent="0.2">
      <c r="A308" s="9">
        <v>2</v>
      </c>
      <c r="B308" s="6" t="s">
        <v>316</v>
      </c>
      <c r="C308" s="7" t="s">
        <v>317</v>
      </c>
      <c r="D308" s="7" t="s">
        <v>319</v>
      </c>
      <c r="E308" s="8">
        <f>COUNTIFS('[1]Detail TPK'!B:B,"BELITUNG",'[1]Detail TPK'!C:C,C308,'[1]Detail TPK'!D:D,D308)</f>
        <v>4</v>
      </c>
    </row>
    <row r="309" spans="1:5" x14ac:dyDescent="0.2">
      <c r="A309" s="9">
        <v>3</v>
      </c>
      <c r="B309" s="6" t="s">
        <v>316</v>
      </c>
      <c r="C309" s="7" t="s">
        <v>317</v>
      </c>
      <c r="D309" s="7" t="s">
        <v>320</v>
      </c>
      <c r="E309" s="8">
        <f>COUNTIFS('[1]Detail TPK'!B:B,"BELITUNG",'[1]Detail TPK'!C:C,C309,'[1]Detail TPK'!D:D,D309)</f>
        <v>5</v>
      </c>
    </row>
    <row r="310" spans="1:5" x14ac:dyDescent="0.2">
      <c r="A310" s="9">
        <v>4</v>
      </c>
      <c r="B310" s="6" t="s">
        <v>316</v>
      </c>
      <c r="C310" s="7" t="s">
        <v>317</v>
      </c>
      <c r="D310" s="7" t="s">
        <v>321</v>
      </c>
      <c r="E310" s="8">
        <f>COUNTIFS('[1]Detail TPK'!B:B,"BELITUNG",'[1]Detail TPK'!C:C,C310,'[1]Detail TPK'!D:D,D310)</f>
        <v>9</v>
      </c>
    </row>
    <row r="311" spans="1:5" x14ac:dyDescent="0.2">
      <c r="A311" s="9">
        <v>5</v>
      </c>
      <c r="B311" s="6" t="s">
        <v>316</v>
      </c>
      <c r="C311" s="7" t="s">
        <v>317</v>
      </c>
      <c r="D311" s="7" t="s">
        <v>322</v>
      </c>
      <c r="E311" s="8">
        <f>COUNTIFS('[1]Detail TPK'!B:B,"BELITUNG",'[1]Detail TPK'!C:C,C311,'[1]Detail TPK'!D:D,D311)</f>
        <v>4</v>
      </c>
    </row>
    <row r="312" spans="1:5" x14ac:dyDescent="0.2">
      <c r="A312" s="9">
        <v>6</v>
      </c>
      <c r="B312" s="6" t="s">
        <v>316</v>
      </c>
      <c r="C312" s="7" t="s">
        <v>317</v>
      </c>
      <c r="D312" s="7" t="s">
        <v>323</v>
      </c>
      <c r="E312" s="8">
        <f>COUNTIFS('[1]Detail TPK'!B:B,"BELITUNG",'[1]Detail TPK'!C:C,C312,'[1]Detail TPK'!D:D,D312)</f>
        <v>4</v>
      </c>
    </row>
    <row r="313" spans="1:5" x14ac:dyDescent="0.2">
      <c r="A313" s="9">
        <v>7</v>
      </c>
      <c r="B313" s="6" t="s">
        <v>316</v>
      </c>
      <c r="C313" s="7" t="s">
        <v>317</v>
      </c>
      <c r="D313" s="7" t="s">
        <v>324</v>
      </c>
      <c r="E313" s="8">
        <f>COUNTIFS('[1]Detail TPK'!B:B,"BELITUNG",'[1]Detail TPK'!C:C,C313,'[1]Detail TPK'!D:D,D313)</f>
        <v>3</v>
      </c>
    </row>
    <row r="314" spans="1:5" x14ac:dyDescent="0.2">
      <c r="A314" s="9">
        <v>8</v>
      </c>
      <c r="B314" s="6" t="s">
        <v>316</v>
      </c>
      <c r="C314" s="7" t="s">
        <v>317</v>
      </c>
      <c r="D314" s="7" t="s">
        <v>325</v>
      </c>
      <c r="E314" s="8">
        <f>COUNTIFS('[1]Detail TPK'!B:B,"BELITUNG",'[1]Detail TPK'!C:C,C314,'[1]Detail TPK'!D:D,D314)</f>
        <v>3</v>
      </c>
    </row>
    <row r="315" spans="1:5" x14ac:dyDescent="0.2">
      <c r="A315" s="9">
        <v>9</v>
      </c>
      <c r="B315" s="6" t="s">
        <v>316</v>
      </c>
      <c r="C315" s="7" t="s">
        <v>317</v>
      </c>
      <c r="D315" s="7" t="s">
        <v>326</v>
      </c>
      <c r="E315" s="8">
        <f>COUNTIFS('[1]Detail TPK'!B:B,"BELITUNG",'[1]Detail TPK'!C:C,C315,'[1]Detail TPK'!D:D,D315)</f>
        <v>3</v>
      </c>
    </row>
    <row r="316" spans="1:5" x14ac:dyDescent="0.2">
      <c r="A316" s="9">
        <v>10</v>
      </c>
      <c r="B316" s="6" t="s">
        <v>316</v>
      </c>
      <c r="C316" s="7" t="s">
        <v>317</v>
      </c>
      <c r="D316" s="7" t="s">
        <v>257</v>
      </c>
      <c r="E316" s="8">
        <f>COUNTIFS('[1]Detail TPK'!B:B,"BELITUNG",'[1]Detail TPK'!C:C,C316,'[1]Detail TPK'!D:D,D316)</f>
        <v>3</v>
      </c>
    </row>
    <row r="317" spans="1:5" x14ac:dyDescent="0.2">
      <c r="A317" s="9">
        <v>11</v>
      </c>
      <c r="B317" s="6" t="s">
        <v>316</v>
      </c>
      <c r="C317" s="7" t="s">
        <v>317</v>
      </c>
      <c r="D317" s="7" t="s">
        <v>327</v>
      </c>
      <c r="E317" s="8">
        <f>COUNTIFS('[1]Detail TPK'!B:B,"BELITUNG",'[1]Detail TPK'!C:C,C317,'[1]Detail TPK'!D:D,D317)</f>
        <v>2</v>
      </c>
    </row>
    <row r="318" spans="1:5" x14ac:dyDescent="0.2">
      <c r="A318" s="9">
        <v>12</v>
      </c>
      <c r="B318" s="6" t="s">
        <v>316</v>
      </c>
      <c r="C318" s="7" t="s">
        <v>317</v>
      </c>
      <c r="D318" s="7" t="s">
        <v>328</v>
      </c>
      <c r="E318" s="8">
        <f>COUNTIFS('[1]Detail TPK'!B:B,"BELITUNG",'[1]Detail TPK'!C:C,C318,'[1]Detail TPK'!D:D,D318)</f>
        <v>4</v>
      </c>
    </row>
    <row r="319" spans="1:5" x14ac:dyDescent="0.2">
      <c r="A319" s="9">
        <v>13</v>
      </c>
      <c r="B319" s="6" t="s">
        <v>316</v>
      </c>
      <c r="C319" s="7" t="s">
        <v>317</v>
      </c>
      <c r="D319" s="7" t="s">
        <v>329</v>
      </c>
      <c r="E319" s="8">
        <f>COUNTIFS('[1]Detail TPK'!B:B,"BELITUNG",'[1]Detail TPK'!C:C,C319,'[1]Detail TPK'!D:D,D319)</f>
        <v>4</v>
      </c>
    </row>
    <row r="320" spans="1:5" x14ac:dyDescent="0.2">
      <c r="A320" s="9">
        <v>14</v>
      </c>
      <c r="B320" s="6" t="s">
        <v>316</v>
      </c>
      <c r="C320" s="7" t="s">
        <v>317</v>
      </c>
      <c r="D320" s="7" t="s">
        <v>330</v>
      </c>
      <c r="E320" s="8">
        <f>COUNTIFS('[1]Detail TPK'!B:B,"BELITUNG",'[1]Detail TPK'!C:C,C320,'[1]Detail TPK'!D:D,D320)</f>
        <v>2</v>
      </c>
    </row>
    <row r="321" spans="1:5" x14ac:dyDescent="0.2">
      <c r="A321" s="9">
        <v>15</v>
      </c>
      <c r="B321" s="6" t="s">
        <v>316</v>
      </c>
      <c r="C321" s="7" t="s">
        <v>317</v>
      </c>
      <c r="D321" s="7" t="s">
        <v>331</v>
      </c>
      <c r="E321" s="8">
        <f>COUNTIFS('[1]Detail TPK'!B:B,"BELITUNG",'[1]Detail TPK'!C:C,C321,'[1]Detail TPK'!D:D,D321)</f>
        <v>3</v>
      </c>
    </row>
    <row r="322" spans="1:5" x14ac:dyDescent="0.2">
      <c r="A322" s="9">
        <v>16</v>
      </c>
      <c r="B322" s="6" t="s">
        <v>316</v>
      </c>
      <c r="C322" s="7" t="s">
        <v>317</v>
      </c>
      <c r="D322" s="7" t="s">
        <v>332</v>
      </c>
      <c r="E322" s="8">
        <f>COUNTIFS('[1]Detail TPK'!B:B,"BELITUNG",'[1]Detail TPK'!C:C,C322,'[1]Detail TPK'!D:D,D322)</f>
        <v>6</v>
      </c>
    </row>
    <row r="323" spans="1:5" x14ac:dyDescent="0.2">
      <c r="A323" s="9">
        <v>17</v>
      </c>
      <c r="B323" s="6" t="s">
        <v>316</v>
      </c>
      <c r="C323" s="7" t="s">
        <v>333</v>
      </c>
      <c r="D323" s="7" t="s">
        <v>333</v>
      </c>
      <c r="E323" s="8">
        <f>COUNTIFS('[1]Detail TPK'!B:B,"BELITUNG",'[1]Detail TPK'!C:C,C323,'[1]Detail TPK'!D:D,D323)</f>
        <v>3</v>
      </c>
    </row>
    <row r="324" spans="1:5" x14ac:dyDescent="0.2">
      <c r="A324" s="9">
        <v>18</v>
      </c>
      <c r="B324" s="6" t="s">
        <v>316</v>
      </c>
      <c r="C324" s="7" t="s">
        <v>333</v>
      </c>
      <c r="D324" s="7" t="s">
        <v>334</v>
      </c>
      <c r="E324" s="8">
        <f>COUNTIFS('[1]Detail TPK'!B:B,"BELITUNG",'[1]Detail TPK'!C:C,C324,'[1]Detail TPK'!D:D,D324)</f>
        <v>1</v>
      </c>
    </row>
    <row r="325" spans="1:5" x14ac:dyDescent="0.2">
      <c r="A325" s="9">
        <v>19</v>
      </c>
      <c r="B325" s="6" t="s">
        <v>316</v>
      </c>
      <c r="C325" s="7" t="s">
        <v>333</v>
      </c>
      <c r="D325" s="7" t="s">
        <v>335</v>
      </c>
      <c r="E325" s="8">
        <f>COUNTIFS('[1]Detail TPK'!B:B,"BELITUNG",'[1]Detail TPK'!C:C,C325,'[1]Detail TPK'!D:D,D325)</f>
        <v>3</v>
      </c>
    </row>
    <row r="326" spans="1:5" x14ac:dyDescent="0.2">
      <c r="A326" s="9">
        <v>20</v>
      </c>
      <c r="B326" s="6" t="s">
        <v>316</v>
      </c>
      <c r="C326" s="7" t="s">
        <v>333</v>
      </c>
      <c r="D326" s="7" t="s">
        <v>336</v>
      </c>
      <c r="E326" s="8">
        <f>COUNTIFS('[1]Detail TPK'!B:B,"BELITUNG",'[1]Detail TPK'!C:C,C326,'[1]Detail TPK'!D:D,D326)</f>
        <v>1</v>
      </c>
    </row>
    <row r="327" spans="1:5" x14ac:dyDescent="0.2">
      <c r="A327" s="9">
        <v>21</v>
      </c>
      <c r="B327" s="6" t="s">
        <v>316</v>
      </c>
      <c r="C327" s="7" t="s">
        <v>333</v>
      </c>
      <c r="D327" s="7" t="s">
        <v>337</v>
      </c>
      <c r="E327" s="8">
        <f>COUNTIFS('[1]Detail TPK'!B:B,"BELITUNG",'[1]Detail TPK'!C:C,C327,'[1]Detail TPK'!D:D,D327)</f>
        <v>1</v>
      </c>
    </row>
    <row r="328" spans="1:5" x14ac:dyDescent="0.2">
      <c r="A328" s="9">
        <v>22</v>
      </c>
      <c r="B328" s="6" t="s">
        <v>316</v>
      </c>
      <c r="C328" s="7" t="s">
        <v>333</v>
      </c>
      <c r="D328" s="7" t="s">
        <v>338</v>
      </c>
      <c r="E328" s="8">
        <f>COUNTIFS('[1]Detail TPK'!B:B,"BELITUNG",'[1]Detail TPK'!C:C,C328,'[1]Detail TPK'!D:D,D328)</f>
        <v>1</v>
      </c>
    </row>
    <row r="329" spans="1:5" x14ac:dyDescent="0.2">
      <c r="A329" s="9">
        <v>23</v>
      </c>
      <c r="B329" s="6" t="s">
        <v>316</v>
      </c>
      <c r="C329" s="7" t="s">
        <v>333</v>
      </c>
      <c r="D329" s="7" t="s">
        <v>339</v>
      </c>
      <c r="E329" s="8">
        <f>COUNTIFS('[1]Detail TPK'!B:B,"BELITUNG",'[1]Detail TPK'!C:C,C329,'[1]Detail TPK'!D:D,D329)</f>
        <v>1</v>
      </c>
    </row>
    <row r="330" spans="1:5" x14ac:dyDescent="0.2">
      <c r="A330" s="9">
        <v>24</v>
      </c>
      <c r="B330" s="6" t="s">
        <v>316</v>
      </c>
      <c r="C330" s="7" t="s">
        <v>333</v>
      </c>
      <c r="D330" s="7" t="s">
        <v>340</v>
      </c>
      <c r="E330" s="8">
        <f>COUNTIFS('[1]Detail TPK'!B:B,"BELITUNG",'[1]Detail TPK'!C:C,C330,'[1]Detail TPK'!D:D,D330)</f>
        <v>1</v>
      </c>
    </row>
    <row r="331" spans="1:5" x14ac:dyDescent="0.2">
      <c r="A331" s="9">
        <v>25</v>
      </c>
      <c r="B331" s="6" t="s">
        <v>316</v>
      </c>
      <c r="C331" s="7" t="s">
        <v>333</v>
      </c>
      <c r="D331" s="7" t="s">
        <v>341</v>
      </c>
      <c r="E331" s="8">
        <f>COUNTIFS('[1]Detail TPK'!B:B,"BELITUNG",'[1]Detail TPK'!C:C,C331,'[1]Detail TPK'!D:D,D331)</f>
        <v>1</v>
      </c>
    </row>
    <row r="332" spans="1:5" x14ac:dyDescent="0.2">
      <c r="A332" s="9">
        <v>26</v>
      </c>
      <c r="B332" s="6" t="s">
        <v>316</v>
      </c>
      <c r="C332" s="7" t="s">
        <v>333</v>
      </c>
      <c r="D332" s="7" t="s">
        <v>342</v>
      </c>
      <c r="E332" s="8">
        <f>COUNTIFS('[1]Detail TPK'!B:B,"BELITUNG",'[1]Detail TPK'!C:C,C332,'[1]Detail TPK'!D:D,D332)</f>
        <v>1</v>
      </c>
    </row>
    <row r="333" spans="1:5" x14ac:dyDescent="0.2">
      <c r="A333" s="9">
        <v>27</v>
      </c>
      <c r="B333" s="6" t="s">
        <v>316</v>
      </c>
      <c r="C333" s="7" t="s">
        <v>333</v>
      </c>
      <c r="D333" s="7" t="s">
        <v>343</v>
      </c>
      <c r="E333" s="8">
        <f>COUNTIFS('[1]Detail TPK'!B:B,"BELITUNG",'[1]Detail TPK'!C:C,C333,'[1]Detail TPK'!D:D,D333)</f>
        <v>1</v>
      </c>
    </row>
    <row r="334" spans="1:5" x14ac:dyDescent="0.2">
      <c r="A334" s="9">
        <v>28</v>
      </c>
      <c r="B334" s="6" t="s">
        <v>316</v>
      </c>
      <c r="C334" s="7" t="s">
        <v>333</v>
      </c>
      <c r="D334" s="7" t="s">
        <v>344</v>
      </c>
      <c r="E334" s="8">
        <f>COUNTIFS('[1]Detail TPK'!B:B,"BELITUNG",'[1]Detail TPK'!C:C,C334,'[1]Detail TPK'!D:D,D334)</f>
        <v>1</v>
      </c>
    </row>
    <row r="335" spans="1:5" x14ac:dyDescent="0.2">
      <c r="A335" s="9">
        <v>29</v>
      </c>
      <c r="B335" s="6" t="s">
        <v>316</v>
      </c>
      <c r="C335" s="7" t="s">
        <v>345</v>
      </c>
      <c r="D335" s="7" t="s">
        <v>345</v>
      </c>
      <c r="E335" s="8">
        <f>COUNTIFS('[1]Detail TPK'!B:B,"BELITUNG",'[1]Detail TPK'!C:C,C335,'[1]Detail TPK'!D:D,D335)</f>
        <v>2</v>
      </c>
    </row>
    <row r="336" spans="1:5" x14ac:dyDescent="0.2">
      <c r="A336" s="9">
        <v>30</v>
      </c>
      <c r="B336" s="6" t="s">
        <v>316</v>
      </c>
      <c r="C336" s="7" t="s">
        <v>345</v>
      </c>
      <c r="D336" s="7" t="s">
        <v>41</v>
      </c>
      <c r="E336" s="8">
        <f>COUNTIFS('[1]Detail TPK'!B:B,"BELITUNG",'[1]Detail TPK'!C:C,C336,'[1]Detail TPK'!D:D,D336)</f>
        <v>1</v>
      </c>
    </row>
    <row r="337" spans="1:5" x14ac:dyDescent="0.2">
      <c r="A337" s="9">
        <v>31</v>
      </c>
      <c r="B337" s="6" t="s">
        <v>316</v>
      </c>
      <c r="C337" s="7" t="s">
        <v>345</v>
      </c>
      <c r="D337" s="7" t="s">
        <v>346</v>
      </c>
      <c r="E337" s="8">
        <f>COUNTIFS('[1]Detail TPK'!B:B,"BELITUNG",'[1]Detail TPK'!C:C,C337,'[1]Detail TPK'!D:D,D337)</f>
        <v>1</v>
      </c>
    </row>
    <row r="338" spans="1:5" x14ac:dyDescent="0.2">
      <c r="A338" s="9">
        <v>32</v>
      </c>
      <c r="B338" s="6" t="s">
        <v>316</v>
      </c>
      <c r="C338" s="7" t="s">
        <v>345</v>
      </c>
      <c r="D338" s="7" t="s">
        <v>347</v>
      </c>
      <c r="E338" s="8">
        <f>COUNTIFS('[1]Detail TPK'!B:B,"BELITUNG",'[1]Detail TPK'!C:C,C338,'[1]Detail TPK'!D:D,D338)</f>
        <v>2</v>
      </c>
    </row>
    <row r="339" spans="1:5" x14ac:dyDescent="0.2">
      <c r="A339" s="9">
        <v>33</v>
      </c>
      <c r="B339" s="6" t="s">
        <v>316</v>
      </c>
      <c r="C339" s="7" t="s">
        <v>348</v>
      </c>
      <c r="D339" s="7" t="s">
        <v>348</v>
      </c>
      <c r="E339" s="8">
        <f>COUNTIFS('[1]Detail TPK'!B:B,"BELITUNG",'[1]Detail TPK'!C:C,C339,'[1]Detail TPK'!D:D,D339)</f>
        <v>3</v>
      </c>
    </row>
    <row r="340" spans="1:5" x14ac:dyDescent="0.2">
      <c r="A340" s="9">
        <v>34</v>
      </c>
      <c r="B340" s="6" t="s">
        <v>316</v>
      </c>
      <c r="C340" s="7" t="s">
        <v>348</v>
      </c>
      <c r="D340" s="7" t="s">
        <v>349</v>
      </c>
      <c r="E340" s="8">
        <f>COUNTIFS('[1]Detail TPK'!B:B,"BELITUNG",'[1]Detail TPK'!C:C,C340,'[1]Detail TPK'!D:D,D340)</f>
        <v>2</v>
      </c>
    </row>
    <row r="341" spans="1:5" x14ac:dyDescent="0.2">
      <c r="A341" s="9">
        <v>35</v>
      </c>
      <c r="B341" s="6" t="s">
        <v>316</v>
      </c>
      <c r="C341" s="7" t="s">
        <v>348</v>
      </c>
      <c r="D341" s="7" t="s">
        <v>350</v>
      </c>
      <c r="E341" s="8">
        <f>COUNTIFS('[1]Detail TPK'!B:B,"BELITUNG",'[1]Detail TPK'!C:C,C341,'[1]Detail TPK'!D:D,D341)</f>
        <v>2</v>
      </c>
    </row>
    <row r="342" spans="1:5" x14ac:dyDescent="0.2">
      <c r="A342" s="9">
        <v>36</v>
      </c>
      <c r="B342" s="6" t="s">
        <v>316</v>
      </c>
      <c r="C342" s="7" t="s">
        <v>348</v>
      </c>
      <c r="D342" s="7" t="s">
        <v>351</v>
      </c>
      <c r="E342" s="8">
        <f>COUNTIFS('[1]Detail TPK'!B:B,"BELITUNG",'[1]Detail TPK'!C:C,C342,'[1]Detail TPK'!D:D,D342)</f>
        <v>6</v>
      </c>
    </row>
    <row r="343" spans="1:5" x14ac:dyDescent="0.2">
      <c r="A343" s="9">
        <v>37</v>
      </c>
      <c r="B343" s="6" t="s">
        <v>316</v>
      </c>
      <c r="C343" s="7" t="s">
        <v>348</v>
      </c>
      <c r="D343" s="7" t="s">
        <v>352</v>
      </c>
      <c r="E343" s="8">
        <f>COUNTIFS('[1]Detail TPK'!B:B,"BELITUNG",'[1]Detail TPK'!C:C,C343,'[1]Detail TPK'!D:D,D343)</f>
        <v>6</v>
      </c>
    </row>
    <row r="344" spans="1:5" x14ac:dyDescent="0.2">
      <c r="A344" s="9">
        <v>38</v>
      </c>
      <c r="B344" s="6" t="s">
        <v>316</v>
      </c>
      <c r="C344" s="7" t="s">
        <v>348</v>
      </c>
      <c r="D344" s="7" t="s">
        <v>353</v>
      </c>
      <c r="E344" s="8">
        <f>COUNTIFS('[1]Detail TPK'!B:B,"BELITUNG",'[1]Detail TPK'!C:C,C344,'[1]Detail TPK'!D:D,D344)</f>
        <v>4</v>
      </c>
    </row>
    <row r="345" spans="1:5" x14ac:dyDescent="0.2">
      <c r="A345" s="9">
        <v>39</v>
      </c>
      <c r="B345" s="6" t="s">
        <v>316</v>
      </c>
      <c r="C345" s="7" t="s">
        <v>348</v>
      </c>
      <c r="D345" s="7" t="s">
        <v>354</v>
      </c>
      <c r="E345" s="8">
        <f>COUNTIFS('[1]Detail TPK'!B:B,"BELITUNG",'[1]Detail TPK'!C:C,C345,'[1]Detail TPK'!D:D,D345)</f>
        <v>2</v>
      </c>
    </row>
    <row r="346" spans="1:5" x14ac:dyDescent="0.2">
      <c r="A346" s="9">
        <v>40</v>
      </c>
      <c r="B346" s="6" t="s">
        <v>316</v>
      </c>
      <c r="C346" s="7" t="s">
        <v>348</v>
      </c>
      <c r="D346" s="7" t="s">
        <v>355</v>
      </c>
      <c r="E346" s="8">
        <f>COUNTIFS('[1]Detail TPK'!B:B,"BELITUNG",'[1]Detail TPK'!C:C,C346,'[1]Detail TPK'!D:D,D346)</f>
        <v>2</v>
      </c>
    </row>
    <row r="347" spans="1:5" x14ac:dyDescent="0.2">
      <c r="A347" s="9">
        <v>41</v>
      </c>
      <c r="B347" s="6" t="s">
        <v>316</v>
      </c>
      <c r="C347" s="7" t="s">
        <v>348</v>
      </c>
      <c r="D347" s="7" t="s">
        <v>356</v>
      </c>
      <c r="E347" s="8">
        <f>COUNTIFS('[1]Detail TPK'!B:B,"BELITUNG",'[1]Detail TPK'!C:C,C347,'[1]Detail TPK'!D:D,D347)</f>
        <v>3</v>
      </c>
    </row>
    <row r="348" spans="1:5" x14ac:dyDescent="0.2">
      <c r="A348" s="9">
        <v>42</v>
      </c>
      <c r="B348" s="6" t="s">
        <v>316</v>
      </c>
      <c r="C348" s="7" t="s">
        <v>348</v>
      </c>
      <c r="D348" s="7" t="s">
        <v>357</v>
      </c>
      <c r="E348" s="8">
        <f>COUNTIFS('[1]Detail TPK'!B:B,"BELITUNG",'[1]Detail TPK'!C:C,C348,'[1]Detail TPK'!D:D,D348)</f>
        <v>2</v>
      </c>
    </row>
    <row r="349" spans="1:5" x14ac:dyDescent="0.2">
      <c r="A349" s="9">
        <v>43</v>
      </c>
      <c r="B349" s="6" t="s">
        <v>316</v>
      </c>
      <c r="C349" s="7" t="s">
        <v>358</v>
      </c>
      <c r="D349" s="7" t="s">
        <v>358</v>
      </c>
      <c r="E349" s="8">
        <f>COUNTIFS('[1]Detail TPK'!B:B,"BELITUNG",'[1]Detail TPK'!C:C,C349,'[1]Detail TPK'!D:D,D349)</f>
        <v>3</v>
      </c>
    </row>
    <row r="350" spans="1:5" x14ac:dyDescent="0.2">
      <c r="A350" s="9">
        <v>44</v>
      </c>
      <c r="B350" s="6" t="s">
        <v>316</v>
      </c>
      <c r="C350" s="7" t="s">
        <v>358</v>
      </c>
      <c r="D350" s="7" t="s">
        <v>359</v>
      </c>
      <c r="E350" s="8">
        <f>COUNTIFS('[1]Detail TPK'!B:B,"BELITUNG",'[1]Detail TPK'!C:C,C350,'[1]Detail TPK'!D:D,D350)</f>
        <v>2</v>
      </c>
    </row>
    <row r="351" spans="1:5" x14ac:dyDescent="0.2">
      <c r="A351" s="9">
        <v>45</v>
      </c>
      <c r="B351" s="6" t="s">
        <v>316</v>
      </c>
      <c r="C351" s="7" t="s">
        <v>358</v>
      </c>
      <c r="D351" s="7" t="s">
        <v>360</v>
      </c>
      <c r="E351" s="8">
        <f>COUNTIFS('[1]Detail TPK'!B:B,"BELITUNG",'[1]Detail TPK'!C:C,C351,'[1]Detail TPK'!D:D,D351)</f>
        <v>2</v>
      </c>
    </row>
    <row r="352" spans="1:5" x14ac:dyDescent="0.2">
      <c r="A352" s="9">
        <v>46</v>
      </c>
      <c r="B352" s="6" t="s">
        <v>316</v>
      </c>
      <c r="C352" s="7" t="s">
        <v>358</v>
      </c>
      <c r="D352" s="7" t="s">
        <v>361</v>
      </c>
      <c r="E352" s="8">
        <f>COUNTIFS('[1]Detail TPK'!B:B,"BELITUNG",'[1]Detail TPK'!C:C,C352,'[1]Detail TPK'!D:D,D352)</f>
        <v>4</v>
      </c>
    </row>
    <row r="353" spans="1:5" x14ac:dyDescent="0.2">
      <c r="A353" s="9">
        <v>47</v>
      </c>
      <c r="B353" s="6" t="s">
        <v>316</v>
      </c>
      <c r="C353" s="7" t="s">
        <v>358</v>
      </c>
      <c r="D353" s="7" t="s">
        <v>362</v>
      </c>
      <c r="E353" s="8">
        <f>COUNTIFS('[1]Detail TPK'!B:B,"BELITUNG",'[1]Detail TPK'!C:C,C353,'[1]Detail TPK'!D:D,D353)</f>
        <v>1</v>
      </c>
    </row>
    <row r="354" spans="1:5" x14ac:dyDescent="0.2">
      <c r="A354" s="9">
        <v>48</v>
      </c>
      <c r="B354" s="6" t="s">
        <v>316</v>
      </c>
      <c r="C354" s="7" t="s">
        <v>358</v>
      </c>
      <c r="D354" s="7" t="s">
        <v>363</v>
      </c>
      <c r="E354" s="8">
        <f>COUNTIFS('[1]Detail TPK'!B:B,"BELITUNG",'[1]Detail TPK'!C:C,C354,'[1]Detail TPK'!D:D,D354)</f>
        <v>3</v>
      </c>
    </row>
    <row r="355" spans="1:5" x14ac:dyDescent="0.2">
      <c r="A355" s="9">
        <v>49</v>
      </c>
      <c r="B355" s="6" t="s">
        <v>316</v>
      </c>
      <c r="C355" s="7" t="s">
        <v>358</v>
      </c>
      <c r="D355" s="7" t="s">
        <v>108</v>
      </c>
      <c r="E355" s="8">
        <f>COUNTIFS('[1]Detail TPK'!B:B,"BELITUNG",'[1]Detail TPK'!C:C,C355,'[1]Detail TPK'!D:D,D355)</f>
        <v>3</v>
      </c>
    </row>
    <row r="356" spans="1:5" x14ac:dyDescent="0.2">
      <c r="A356" s="9">
        <v>1</v>
      </c>
      <c r="B356" s="10" t="s">
        <v>364</v>
      </c>
      <c r="C356" s="7" t="s">
        <v>365</v>
      </c>
      <c r="D356" s="7" t="s">
        <v>366</v>
      </c>
      <c r="E356" s="8">
        <f>COUNTIFS('[1]Detail TPK'!B:B,"KOTA PANGKAL PINANG",'[1]Detail TPK'!C:C,C356,'[1]Detail TPK'!D:D,D356)</f>
        <v>4</v>
      </c>
    </row>
    <row r="357" spans="1:5" x14ac:dyDescent="0.2">
      <c r="A357" s="9">
        <v>2</v>
      </c>
      <c r="B357" s="10" t="s">
        <v>364</v>
      </c>
      <c r="C357" s="7" t="s">
        <v>365</v>
      </c>
      <c r="D357" s="7" t="s">
        <v>367</v>
      </c>
      <c r="E357" s="8">
        <f>COUNTIFS('[1]Detail TPK'!B:B,"KOTA PANGKAL PINANG",'[1]Detail TPK'!C:C,C357,'[1]Detail TPK'!D:D,D357)</f>
        <v>3</v>
      </c>
    </row>
    <row r="358" spans="1:5" x14ac:dyDescent="0.2">
      <c r="A358" s="9">
        <v>3</v>
      </c>
      <c r="B358" s="10" t="s">
        <v>364</v>
      </c>
      <c r="C358" s="7" t="s">
        <v>365</v>
      </c>
      <c r="D358" s="7" t="s">
        <v>368</v>
      </c>
      <c r="E358" s="8">
        <f>COUNTIFS('[1]Detail TPK'!B:B,"KOTA PANGKAL PINANG",'[1]Detail TPK'!C:C,C358,'[1]Detail TPK'!D:D,D358)</f>
        <v>4</v>
      </c>
    </row>
    <row r="359" spans="1:5" x14ac:dyDescent="0.2">
      <c r="A359" s="9">
        <v>4</v>
      </c>
      <c r="B359" s="10" t="s">
        <v>364</v>
      </c>
      <c r="C359" s="7" t="s">
        <v>365</v>
      </c>
      <c r="D359" s="7" t="s">
        <v>304</v>
      </c>
      <c r="E359" s="8">
        <f>COUNTIFS('[1]Detail TPK'!B:B,"KOTA PANGKAL PINANG",'[1]Detail TPK'!C:C,C359,'[1]Detail TPK'!D:D,D359)</f>
        <v>4</v>
      </c>
    </row>
    <row r="360" spans="1:5" x14ac:dyDescent="0.2">
      <c r="A360" s="9">
        <v>5</v>
      </c>
      <c r="B360" s="10" t="s">
        <v>364</v>
      </c>
      <c r="C360" s="7" t="s">
        <v>365</v>
      </c>
      <c r="D360" s="7" t="s">
        <v>369</v>
      </c>
      <c r="E360" s="8">
        <f>COUNTIFS('[1]Detail TPK'!B:B,"KOTA PANGKAL PINANG",'[1]Detail TPK'!C:C,C360,'[1]Detail TPK'!D:D,D360)</f>
        <v>3</v>
      </c>
    </row>
    <row r="361" spans="1:5" x14ac:dyDescent="0.2">
      <c r="A361" s="9">
        <v>6</v>
      </c>
      <c r="B361" s="10" t="s">
        <v>364</v>
      </c>
      <c r="C361" s="7" t="s">
        <v>365</v>
      </c>
      <c r="D361" s="7" t="s">
        <v>370</v>
      </c>
      <c r="E361" s="8">
        <f>COUNTIFS('[1]Detail TPK'!B:B,"KOTA PANGKAL PINANG",'[1]Detail TPK'!C:C,C361,'[1]Detail TPK'!D:D,D361)</f>
        <v>3</v>
      </c>
    </row>
    <row r="362" spans="1:5" x14ac:dyDescent="0.2">
      <c r="A362" s="9">
        <v>7</v>
      </c>
      <c r="B362" s="10" t="s">
        <v>364</v>
      </c>
      <c r="C362" s="7" t="s">
        <v>365</v>
      </c>
      <c r="D362" s="7" t="s">
        <v>371</v>
      </c>
      <c r="E362" s="8">
        <f>COUNTIFS('[1]Detail TPK'!B:B,"KOTA PANGKAL PINANG",'[1]Detail TPK'!C:C,C362,'[1]Detail TPK'!D:D,D362)</f>
        <v>3</v>
      </c>
    </row>
    <row r="363" spans="1:5" x14ac:dyDescent="0.2">
      <c r="A363" s="9">
        <v>8</v>
      </c>
      <c r="B363" s="10" t="s">
        <v>364</v>
      </c>
      <c r="C363" s="7" t="s">
        <v>372</v>
      </c>
      <c r="D363" s="7" t="s">
        <v>373</v>
      </c>
      <c r="E363" s="8">
        <f>COUNTIFS('[1]Detail TPK'!B:B,"KOTA PANGKAL PINANG",'[1]Detail TPK'!C:C,C363,'[1]Detail TPK'!D:D,D363)</f>
        <v>4</v>
      </c>
    </row>
    <row r="364" spans="1:5" x14ac:dyDescent="0.2">
      <c r="A364" s="9">
        <v>9</v>
      </c>
      <c r="B364" s="10" t="s">
        <v>364</v>
      </c>
      <c r="C364" s="7" t="s">
        <v>372</v>
      </c>
      <c r="D364" s="7" t="s">
        <v>374</v>
      </c>
      <c r="E364" s="8">
        <f>COUNTIFS('[1]Detail TPK'!B:B,"KOTA PANGKAL PINANG",'[1]Detail TPK'!C:C,C364,'[1]Detail TPK'!D:D,D364)</f>
        <v>3</v>
      </c>
    </row>
    <row r="365" spans="1:5" x14ac:dyDescent="0.2">
      <c r="A365" s="9">
        <v>10</v>
      </c>
      <c r="B365" s="10" t="s">
        <v>364</v>
      </c>
      <c r="C365" s="7" t="s">
        <v>372</v>
      </c>
      <c r="D365" s="7" t="s">
        <v>375</v>
      </c>
      <c r="E365" s="8">
        <f>COUNTIFS('[1]Detail TPK'!B:B,"KOTA PANGKAL PINANG",'[1]Detail TPK'!C:C,C365,'[1]Detail TPK'!D:D,D365)</f>
        <v>3</v>
      </c>
    </row>
    <row r="366" spans="1:5" x14ac:dyDescent="0.2">
      <c r="A366" s="9">
        <v>11</v>
      </c>
      <c r="B366" s="10" t="s">
        <v>364</v>
      </c>
      <c r="C366" s="7" t="s">
        <v>372</v>
      </c>
      <c r="D366" s="7" t="s">
        <v>376</v>
      </c>
      <c r="E366" s="8">
        <f>COUNTIFS('[1]Detail TPK'!B:B,"KOTA PANGKAL PINANG",'[1]Detail TPK'!C:C,C366,'[1]Detail TPK'!D:D,D366)</f>
        <v>3</v>
      </c>
    </row>
    <row r="367" spans="1:5" x14ac:dyDescent="0.2">
      <c r="A367" s="9">
        <v>12</v>
      </c>
      <c r="B367" s="10" t="s">
        <v>364</v>
      </c>
      <c r="C367" s="7" t="s">
        <v>372</v>
      </c>
      <c r="D367" s="7" t="s">
        <v>377</v>
      </c>
      <c r="E367" s="8">
        <f>COUNTIFS('[1]Detail TPK'!B:B,"KOTA PANGKAL PINANG",'[1]Detail TPK'!C:C,C367,'[1]Detail TPK'!D:D,D367)</f>
        <v>5</v>
      </c>
    </row>
    <row r="368" spans="1:5" x14ac:dyDescent="0.2">
      <c r="A368" s="9">
        <v>13</v>
      </c>
      <c r="B368" s="10" t="s">
        <v>364</v>
      </c>
      <c r="C368" s="7" t="s">
        <v>378</v>
      </c>
      <c r="D368" s="7" t="s">
        <v>198</v>
      </c>
      <c r="E368" s="8">
        <f>COUNTIFS('[1]Detail TPK'!B:B,"KOTA PANGKAL PINANG",'[1]Detail TPK'!C:C,C368,'[1]Detail TPK'!D:D,D368)</f>
        <v>3</v>
      </c>
    </row>
    <row r="369" spans="1:5" x14ac:dyDescent="0.2">
      <c r="A369" s="9">
        <v>14</v>
      </c>
      <c r="B369" s="10" t="s">
        <v>364</v>
      </c>
      <c r="C369" s="7" t="s">
        <v>378</v>
      </c>
      <c r="D369" s="7" t="s">
        <v>379</v>
      </c>
      <c r="E369" s="8">
        <f>COUNTIFS('[1]Detail TPK'!B:B,"KOTA PANGKAL PINANG",'[1]Detail TPK'!C:C,C369,'[1]Detail TPK'!D:D,D369)</f>
        <v>4</v>
      </c>
    </row>
    <row r="370" spans="1:5" x14ac:dyDescent="0.2">
      <c r="A370" s="9">
        <v>15</v>
      </c>
      <c r="B370" s="10" t="s">
        <v>364</v>
      </c>
      <c r="C370" s="7" t="s">
        <v>378</v>
      </c>
      <c r="D370" s="7" t="s">
        <v>380</v>
      </c>
      <c r="E370" s="8">
        <f>COUNTIFS('[1]Detail TPK'!B:B,"KOTA PANGKAL PINANG",'[1]Detail TPK'!C:C,C370,'[1]Detail TPK'!D:D,D370)</f>
        <v>4</v>
      </c>
    </row>
    <row r="371" spans="1:5" x14ac:dyDescent="0.2">
      <c r="A371" s="9">
        <v>16</v>
      </c>
      <c r="B371" s="10" t="s">
        <v>364</v>
      </c>
      <c r="C371" s="7" t="s">
        <v>378</v>
      </c>
      <c r="D371" s="7" t="s">
        <v>381</v>
      </c>
      <c r="E371" s="8">
        <f>COUNTIFS('[1]Detail TPK'!B:B,"KOTA PANGKAL PINANG",'[1]Detail TPK'!C:C,C371,'[1]Detail TPK'!D:D,D371)</f>
        <v>3</v>
      </c>
    </row>
    <row r="372" spans="1:5" x14ac:dyDescent="0.2">
      <c r="A372" s="9">
        <v>17</v>
      </c>
      <c r="B372" s="10" t="s">
        <v>364</v>
      </c>
      <c r="C372" s="7" t="s">
        <v>378</v>
      </c>
      <c r="D372" s="7" t="s">
        <v>382</v>
      </c>
      <c r="E372" s="8">
        <f>COUNTIFS('[1]Detail TPK'!B:B,"KOTA PANGKAL PINANG",'[1]Detail TPK'!C:C,C372,'[1]Detail TPK'!D:D,D372)</f>
        <v>4</v>
      </c>
    </row>
    <row r="373" spans="1:5" x14ac:dyDescent="0.2">
      <c r="A373" s="9">
        <v>18</v>
      </c>
      <c r="B373" s="10" t="s">
        <v>364</v>
      </c>
      <c r="C373" s="7" t="s">
        <v>383</v>
      </c>
      <c r="D373" s="7" t="s">
        <v>384</v>
      </c>
      <c r="E373" s="8">
        <f>COUNTIFS('[1]Detail TPK'!B:B,"KOTA PANGKAL PINANG",'[1]Detail TPK'!C:C,C373,'[1]Detail TPK'!D:D,D373)</f>
        <v>4</v>
      </c>
    </row>
    <row r="374" spans="1:5" x14ac:dyDescent="0.2">
      <c r="A374" s="9">
        <v>19</v>
      </c>
      <c r="B374" s="10" t="s">
        <v>364</v>
      </c>
      <c r="C374" s="7" t="s">
        <v>383</v>
      </c>
      <c r="D374" s="7" t="s">
        <v>385</v>
      </c>
      <c r="E374" s="8">
        <f>COUNTIFS('[1]Detail TPK'!B:B,"KOTA PANGKAL PINANG",'[1]Detail TPK'!C:C,C374,'[1]Detail TPK'!D:D,D374)</f>
        <v>2</v>
      </c>
    </row>
    <row r="375" spans="1:5" x14ac:dyDescent="0.2">
      <c r="A375" s="9">
        <v>20</v>
      </c>
      <c r="B375" s="10" t="s">
        <v>364</v>
      </c>
      <c r="C375" s="7" t="s">
        <v>383</v>
      </c>
      <c r="D375" s="7" t="s">
        <v>386</v>
      </c>
      <c r="E375" s="8">
        <f>COUNTIFS('[1]Detail TPK'!B:B,"KOTA PANGKAL PINANG",'[1]Detail TPK'!C:C,C375,'[1]Detail TPK'!D:D,D375)</f>
        <v>2</v>
      </c>
    </row>
    <row r="376" spans="1:5" x14ac:dyDescent="0.2">
      <c r="A376" s="9">
        <v>21</v>
      </c>
      <c r="B376" s="10" t="s">
        <v>364</v>
      </c>
      <c r="C376" s="7" t="s">
        <v>383</v>
      </c>
      <c r="D376" s="7" t="s">
        <v>387</v>
      </c>
      <c r="E376" s="8">
        <f>COUNTIFS('[1]Detail TPK'!B:B,"KOTA PANGKAL PINANG",'[1]Detail TPK'!C:C,C376,'[1]Detail TPK'!D:D,D376)</f>
        <v>3</v>
      </c>
    </row>
    <row r="377" spans="1:5" x14ac:dyDescent="0.2">
      <c r="A377" s="9">
        <v>22</v>
      </c>
      <c r="B377" s="10" t="s">
        <v>364</v>
      </c>
      <c r="C377" s="7" t="s">
        <v>383</v>
      </c>
      <c r="D377" s="7" t="s">
        <v>388</v>
      </c>
      <c r="E377" s="8">
        <f>COUNTIFS('[1]Detail TPK'!B:B,"KOTA PANGKAL PINANG",'[1]Detail TPK'!C:C,C377,'[1]Detail TPK'!D:D,D377)</f>
        <v>3</v>
      </c>
    </row>
    <row r="378" spans="1:5" x14ac:dyDescent="0.2">
      <c r="A378" s="9">
        <v>23</v>
      </c>
      <c r="B378" s="10" t="s">
        <v>364</v>
      </c>
      <c r="C378" s="7" t="s">
        <v>383</v>
      </c>
      <c r="D378" s="7" t="s">
        <v>389</v>
      </c>
      <c r="E378" s="8">
        <f>COUNTIFS('[1]Detail TPK'!B:B,"KOTA PANGKAL PINANG",'[1]Detail TPK'!C:C,C378,'[1]Detail TPK'!D:D,D378)</f>
        <v>4</v>
      </c>
    </row>
    <row r="379" spans="1:5" x14ac:dyDescent="0.2">
      <c r="A379" s="9">
        <v>24</v>
      </c>
      <c r="B379" s="10" t="s">
        <v>364</v>
      </c>
      <c r="C379" s="7" t="s">
        <v>383</v>
      </c>
      <c r="D379" s="7" t="s">
        <v>390</v>
      </c>
      <c r="E379" s="8">
        <f>COUNTIFS('[1]Detail TPK'!B:B,"KOTA PANGKAL PINANG",'[1]Detail TPK'!C:C,C379,'[1]Detail TPK'!D:D,D379)</f>
        <v>4</v>
      </c>
    </row>
    <row r="380" spans="1:5" x14ac:dyDescent="0.2">
      <c r="A380" s="9">
        <v>25</v>
      </c>
      <c r="B380" s="10" t="s">
        <v>364</v>
      </c>
      <c r="C380" s="7" t="s">
        <v>383</v>
      </c>
      <c r="D380" s="7" t="s">
        <v>391</v>
      </c>
      <c r="E380" s="8">
        <f>COUNTIFS('[1]Detail TPK'!B:B,"KOTA PANGKAL PINANG",'[1]Detail TPK'!C:C,C380,'[1]Detail TPK'!D:D,D380)</f>
        <v>4</v>
      </c>
    </row>
    <row r="381" spans="1:5" x14ac:dyDescent="0.2">
      <c r="A381" s="9">
        <v>26</v>
      </c>
      <c r="B381" s="10" t="s">
        <v>364</v>
      </c>
      <c r="C381" s="7" t="s">
        <v>392</v>
      </c>
      <c r="D381" s="7" t="s">
        <v>393</v>
      </c>
      <c r="E381" s="8">
        <f>COUNTIFS('[1]Detail TPK'!B:B,"KOTA PANGKAL PINANG",'[1]Detail TPK'!C:C,C381,'[1]Detail TPK'!D:D,D381)</f>
        <v>3</v>
      </c>
    </row>
    <row r="382" spans="1:5" x14ac:dyDescent="0.2">
      <c r="A382" s="9">
        <v>27</v>
      </c>
      <c r="B382" s="10" t="s">
        <v>364</v>
      </c>
      <c r="C382" s="7" t="s">
        <v>392</v>
      </c>
      <c r="D382" s="7" t="s">
        <v>394</v>
      </c>
      <c r="E382" s="8">
        <f>COUNTIFS('[1]Detail TPK'!B:B,"KOTA PANGKAL PINANG",'[1]Detail TPK'!C:C,C382,'[1]Detail TPK'!D:D,D382)</f>
        <v>4</v>
      </c>
    </row>
    <row r="383" spans="1:5" x14ac:dyDescent="0.2">
      <c r="A383" s="9">
        <v>28</v>
      </c>
      <c r="B383" s="10" t="s">
        <v>364</v>
      </c>
      <c r="C383" s="7" t="s">
        <v>392</v>
      </c>
      <c r="D383" s="7" t="s">
        <v>395</v>
      </c>
      <c r="E383" s="8">
        <f>COUNTIFS('[1]Detail TPK'!B:B,"KOTA PANGKAL PINANG",'[1]Detail TPK'!C:C,C383,'[1]Detail TPK'!D:D,D383)</f>
        <v>4</v>
      </c>
    </row>
    <row r="384" spans="1:5" x14ac:dyDescent="0.2">
      <c r="A384" s="9">
        <v>29</v>
      </c>
      <c r="B384" s="10" t="s">
        <v>364</v>
      </c>
      <c r="C384" s="7" t="s">
        <v>392</v>
      </c>
      <c r="D384" s="7" t="s">
        <v>396</v>
      </c>
      <c r="E384" s="8">
        <f>COUNTIFS('[1]Detail TPK'!B:B,"KOTA PANGKAL PINANG",'[1]Detail TPK'!C:C,C384,'[1]Detail TPK'!D:D,D384)</f>
        <v>3</v>
      </c>
    </row>
    <row r="385" spans="1:5" x14ac:dyDescent="0.2">
      <c r="A385" s="9">
        <v>30</v>
      </c>
      <c r="B385" s="10" t="s">
        <v>364</v>
      </c>
      <c r="C385" s="7" t="s">
        <v>392</v>
      </c>
      <c r="D385" s="7" t="s">
        <v>397</v>
      </c>
      <c r="E385" s="8">
        <f>COUNTIFS('[1]Detail TPK'!B:B,"KOTA PANGKAL PINANG",'[1]Detail TPK'!C:C,C385,'[1]Detail TPK'!D:D,D385)</f>
        <v>4</v>
      </c>
    </row>
    <row r="386" spans="1:5" x14ac:dyDescent="0.2">
      <c r="A386" s="9">
        <v>31</v>
      </c>
      <c r="B386" s="10" t="s">
        <v>364</v>
      </c>
      <c r="C386" s="7" t="s">
        <v>392</v>
      </c>
      <c r="D386" s="7" t="s">
        <v>398</v>
      </c>
      <c r="E386" s="8">
        <f>COUNTIFS('[1]Detail TPK'!B:B,"KOTA PANGKAL PINANG",'[1]Detail TPK'!C:C,C386,'[1]Detail TPK'!D:D,D386)</f>
        <v>3</v>
      </c>
    </row>
    <row r="387" spans="1:5" x14ac:dyDescent="0.2">
      <c r="A387" s="9">
        <v>32</v>
      </c>
      <c r="B387" s="10" t="s">
        <v>364</v>
      </c>
      <c r="C387" s="7" t="s">
        <v>399</v>
      </c>
      <c r="D387" s="7" t="s">
        <v>400</v>
      </c>
      <c r="E387" s="8">
        <f>COUNTIFS('[1]Detail TPK'!B:B,"KOTA PANGKAL PINANG",'[1]Detail TPK'!C:C,C387,'[1]Detail TPK'!D:D,D387)</f>
        <v>3</v>
      </c>
    </row>
    <row r="388" spans="1:5" x14ac:dyDescent="0.2">
      <c r="A388" s="9">
        <v>33</v>
      </c>
      <c r="B388" s="10" t="s">
        <v>364</v>
      </c>
      <c r="C388" s="7" t="s">
        <v>399</v>
      </c>
      <c r="D388" s="7" t="s">
        <v>401</v>
      </c>
      <c r="E388" s="8">
        <f>COUNTIFS('[1]Detail TPK'!B:B,"KOTA PANGKAL PINANG",'[1]Detail TPK'!C:C,C388,'[1]Detail TPK'!D:D,D388)</f>
        <v>3</v>
      </c>
    </row>
    <row r="389" spans="1:5" x14ac:dyDescent="0.2">
      <c r="A389" s="9">
        <v>34</v>
      </c>
      <c r="B389" s="10" t="s">
        <v>364</v>
      </c>
      <c r="C389" s="7" t="s">
        <v>399</v>
      </c>
      <c r="D389" s="7" t="s">
        <v>402</v>
      </c>
      <c r="E389" s="8">
        <f>COUNTIFS('[1]Detail TPK'!B:B,"KOTA PANGKAL PINANG",'[1]Detail TPK'!C:C,C389,'[1]Detail TPK'!D:D,D389)</f>
        <v>4</v>
      </c>
    </row>
    <row r="390" spans="1:5" x14ac:dyDescent="0.2">
      <c r="A390" s="9">
        <v>35</v>
      </c>
      <c r="B390" s="10" t="s">
        <v>364</v>
      </c>
      <c r="C390" s="7" t="s">
        <v>399</v>
      </c>
      <c r="D390" s="7" t="s">
        <v>403</v>
      </c>
      <c r="E390" s="8">
        <f>COUNTIFS('[1]Detail TPK'!B:B,"KOTA PANGKAL PINANG",'[1]Detail TPK'!C:C,C390,'[1]Detail TPK'!D:D,D390)</f>
        <v>4</v>
      </c>
    </row>
    <row r="391" spans="1:5" x14ac:dyDescent="0.2">
      <c r="A391" s="9">
        <v>36</v>
      </c>
      <c r="B391" s="10" t="s">
        <v>364</v>
      </c>
      <c r="C391" s="7" t="s">
        <v>399</v>
      </c>
      <c r="D391" s="7" t="s">
        <v>404</v>
      </c>
      <c r="E391" s="8">
        <f>COUNTIFS('[1]Detail TPK'!B:B,"KOTA PANGKAL PINANG",'[1]Detail TPK'!C:C,C391,'[1]Detail TPK'!D:D,D391)</f>
        <v>3</v>
      </c>
    </row>
    <row r="392" spans="1:5" x14ac:dyDescent="0.2">
      <c r="A392" s="9">
        <v>37</v>
      </c>
      <c r="B392" s="10" t="s">
        <v>364</v>
      </c>
      <c r="C392" s="7" t="s">
        <v>399</v>
      </c>
      <c r="D392" s="7" t="s">
        <v>405</v>
      </c>
      <c r="E392" s="8">
        <f>COUNTIFS('[1]Detail TPK'!B:B,"KOTA PANGKAL PINANG",'[1]Detail TPK'!C:C,C392,'[1]Detail TPK'!D:D,D392)</f>
        <v>4</v>
      </c>
    </row>
    <row r="393" spans="1:5" x14ac:dyDescent="0.2">
      <c r="A393" s="9">
        <v>38</v>
      </c>
      <c r="B393" s="10" t="s">
        <v>364</v>
      </c>
      <c r="C393" s="7" t="s">
        <v>406</v>
      </c>
      <c r="D393" s="7" t="s">
        <v>407</v>
      </c>
      <c r="E393" s="8">
        <f>COUNTIFS('[1]Detail TPK'!B:B,"KOTA PANGKAL PINANG",'[1]Detail TPK'!C:C,C393,'[1]Detail TPK'!D:D,D393)</f>
        <v>2</v>
      </c>
    </row>
    <row r="394" spans="1:5" x14ac:dyDescent="0.2">
      <c r="A394" s="9">
        <v>39</v>
      </c>
      <c r="B394" s="10" t="s">
        <v>364</v>
      </c>
      <c r="C394" s="7" t="s">
        <v>406</v>
      </c>
      <c r="D394" s="7" t="s">
        <v>408</v>
      </c>
      <c r="E394" s="8">
        <f>COUNTIFS('[1]Detail TPK'!B:B,"KOTA PANGKAL PINANG",'[1]Detail TPK'!C:C,C394,'[1]Detail TPK'!D:D,D394)</f>
        <v>2</v>
      </c>
    </row>
    <row r="395" spans="1:5" x14ac:dyDescent="0.2">
      <c r="A395" s="9">
        <v>40</v>
      </c>
      <c r="B395" s="10" t="s">
        <v>364</v>
      </c>
      <c r="C395" s="7" t="s">
        <v>406</v>
      </c>
      <c r="D395" s="7" t="s">
        <v>409</v>
      </c>
      <c r="E395" s="8">
        <f>COUNTIFS('[1]Detail TPK'!B:B,"KOTA PANGKAL PINANG",'[1]Detail TPK'!C:C,C395,'[1]Detail TPK'!D:D,D395)</f>
        <v>5</v>
      </c>
    </row>
    <row r="396" spans="1:5" x14ac:dyDescent="0.2">
      <c r="A396" s="9">
        <v>41</v>
      </c>
      <c r="B396" s="10" t="s">
        <v>364</v>
      </c>
      <c r="C396" s="7" t="s">
        <v>406</v>
      </c>
      <c r="D396" s="7" t="s">
        <v>410</v>
      </c>
      <c r="E396" s="8">
        <f>COUNTIFS('[1]Detail TPK'!B:B,"KOTA PANGKAL PINANG",'[1]Detail TPK'!C:C,C396,'[1]Detail TPK'!D:D,D396)</f>
        <v>5</v>
      </c>
    </row>
    <row r="397" spans="1:5" x14ac:dyDescent="0.2">
      <c r="A397" s="9">
        <v>42</v>
      </c>
      <c r="B397" s="10" t="s">
        <v>364</v>
      </c>
      <c r="C397" s="7" t="s">
        <v>406</v>
      </c>
      <c r="D397" s="7" t="s">
        <v>411</v>
      </c>
      <c r="E397" s="8">
        <f>COUNTIFS('[1]Detail TPK'!B:B,"KOTA PANGKAL PINANG",'[1]Detail TPK'!C:C,C397,'[1]Detail TPK'!D:D,D397)</f>
        <v>4</v>
      </c>
    </row>
  </sheetData>
  <mergeCells count="5"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 rii</dc:creator>
  <cp:lastModifiedBy>put rii</cp:lastModifiedBy>
  <dcterms:created xsi:type="dcterms:W3CDTF">2026-07-18T13:32:04Z</dcterms:created>
  <dcterms:modified xsi:type="dcterms:W3CDTF">2026-07-18T13:32:28Z</dcterms:modified>
</cp:coreProperties>
</file>